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andice\Documents\Universiteit\BWIA 111\"/>
    </mc:Choice>
  </mc:AlternateContent>
  <bookViews>
    <workbookView xWindow="0" yWindow="0" windowWidth="20490" windowHeight="7620"/>
  </bookViews>
  <sheets>
    <sheet name="Interest Rate Conversions" sheetId="1" r:id="rId1"/>
    <sheet name="Single Investments" sheetId="2" r:id="rId2"/>
    <sheet name="Annuities" sheetId="5" r:id="rId3"/>
    <sheet name="Investments &amp; Withdrawels" sheetId="6" r:id="rId4"/>
    <sheet name="Loans OR Investments Increasing" sheetId="4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0" i="4" l="1"/>
  <c r="F61" i="4"/>
  <c r="F52" i="4"/>
  <c r="F43" i="4"/>
  <c r="F34" i="4"/>
  <c r="F25" i="4"/>
  <c r="F7" i="4"/>
  <c r="F16" i="4"/>
  <c r="N83" i="6"/>
  <c r="N76" i="6"/>
  <c r="N69" i="6"/>
  <c r="N62" i="6"/>
  <c r="N55" i="6"/>
  <c r="N48" i="6"/>
  <c r="N41" i="6"/>
  <c r="N34" i="6"/>
  <c r="N27" i="6"/>
  <c r="N20" i="6"/>
  <c r="N13" i="6"/>
  <c r="N6" i="6"/>
  <c r="N22" i="6"/>
  <c r="N15" i="6"/>
  <c r="N8" i="6"/>
  <c r="F83" i="6"/>
  <c r="F76" i="6"/>
  <c r="F69" i="6"/>
  <c r="F55" i="6"/>
  <c r="F62" i="6"/>
  <c r="F41" i="6"/>
  <c r="F20" i="6"/>
  <c r="F22" i="6"/>
  <c r="J59" i="2"/>
  <c r="J53" i="2"/>
  <c r="J47" i="2"/>
  <c r="J41" i="2"/>
  <c r="J35" i="2"/>
  <c r="E59" i="2"/>
  <c r="E53" i="2"/>
  <c r="E47" i="2"/>
  <c r="E41" i="2"/>
  <c r="E35" i="2"/>
  <c r="F75" i="5"/>
  <c r="F67" i="5"/>
  <c r="F7" i="5"/>
  <c r="F5" i="5"/>
  <c r="F62" i="5" l="1"/>
  <c r="F59" i="5"/>
  <c r="C60" i="5"/>
  <c r="F48" i="6"/>
  <c r="F27" i="6"/>
  <c r="F34" i="6"/>
  <c r="F13" i="6"/>
  <c r="F15" i="6" s="1"/>
  <c r="F6" i="6"/>
  <c r="F8" i="6" s="1"/>
  <c r="F53" i="5"/>
  <c r="F47" i="5"/>
  <c r="F41" i="5"/>
  <c r="F29" i="5"/>
  <c r="F35" i="5"/>
  <c r="F23" i="5"/>
  <c r="F17" i="5"/>
  <c r="F11" i="5"/>
  <c r="F19" i="5"/>
  <c r="F13" i="5"/>
  <c r="J29" i="2"/>
  <c r="E29" i="2"/>
  <c r="K56" i="1"/>
  <c r="K55" i="1"/>
  <c r="K54" i="1"/>
  <c r="K53" i="1"/>
  <c r="K61" i="1"/>
  <c r="K60" i="1"/>
  <c r="K59" i="1"/>
  <c r="K58" i="1"/>
  <c r="K52" i="1"/>
  <c r="K49" i="1"/>
  <c r="K37" i="1"/>
  <c r="K25" i="1"/>
  <c r="K13" i="1"/>
  <c r="E61" i="1"/>
  <c r="E49" i="1"/>
  <c r="E37" i="1"/>
  <c r="E25" i="1"/>
  <c r="E13" i="1"/>
  <c r="K48" i="1"/>
  <c r="K47" i="1"/>
  <c r="K46" i="1"/>
  <c r="K44" i="1"/>
  <c r="K43" i="1"/>
  <c r="K42" i="1"/>
  <c r="K41" i="1"/>
  <c r="K40" i="1"/>
  <c r="K36" i="1"/>
  <c r="K35" i="1"/>
  <c r="K34" i="1"/>
  <c r="K32" i="1"/>
  <c r="K30" i="1"/>
  <c r="K29" i="1"/>
  <c r="K31" i="1"/>
  <c r="K28" i="1"/>
  <c r="K20" i="1"/>
  <c r="K19" i="1"/>
  <c r="K17" i="1"/>
  <c r="K18" i="1"/>
  <c r="K16" i="1"/>
  <c r="K24" i="1"/>
  <c r="K23" i="1"/>
  <c r="K22" i="1"/>
  <c r="K12" i="1"/>
  <c r="K11" i="1"/>
  <c r="K10" i="1"/>
  <c r="K8" i="1"/>
  <c r="K7" i="1"/>
  <c r="K6" i="1"/>
  <c r="K4" i="1"/>
  <c r="K5" i="1"/>
  <c r="E55" i="1"/>
  <c r="E54" i="1"/>
  <c r="E53" i="1"/>
  <c r="E28" i="1"/>
  <c r="E17" i="1"/>
  <c r="E22" i="1" s="1"/>
  <c r="E12" i="1"/>
  <c r="E11" i="1"/>
  <c r="E10" i="1"/>
  <c r="E9" i="1"/>
  <c r="E5" i="1"/>
  <c r="E4" i="1"/>
  <c r="E60" i="1"/>
  <c r="E59" i="1"/>
  <c r="E57" i="1"/>
  <c r="E52" i="1"/>
  <c r="E43" i="1"/>
  <c r="E42" i="1"/>
  <c r="E46" i="1" s="1"/>
  <c r="E41" i="1"/>
  <c r="E45" i="1" s="1"/>
  <c r="E40" i="1"/>
  <c r="E31" i="1"/>
  <c r="E30" i="1"/>
  <c r="E35" i="1" s="1"/>
  <c r="E29" i="1"/>
  <c r="E33" i="1" s="1"/>
  <c r="E58" i="1"/>
  <c r="E47" i="1"/>
  <c r="E48" i="1"/>
  <c r="E34" i="1"/>
  <c r="E36" i="1"/>
  <c r="E21" i="1"/>
  <c r="E19" i="1"/>
  <c r="E24" i="1" s="1"/>
  <c r="E18" i="1"/>
  <c r="E23" i="1" s="1"/>
  <c r="E16" i="1"/>
  <c r="E7" i="1"/>
  <c r="E6" i="1"/>
  <c r="J23" i="2"/>
  <c r="J17" i="2"/>
  <c r="J11" i="2"/>
  <c r="J5" i="2"/>
  <c r="E23" i="2"/>
  <c r="E17" i="2"/>
  <c r="E11" i="2"/>
  <c r="E5" i="2"/>
</calcChain>
</file>

<file path=xl/sharedStrings.xml><?xml version="1.0" encoding="utf-8"?>
<sst xmlns="http://schemas.openxmlformats.org/spreadsheetml/2006/main" count="515" uniqueCount="61">
  <si>
    <t>Input</t>
  </si>
  <si>
    <t>Output</t>
  </si>
  <si>
    <t>Present Value</t>
  </si>
  <si>
    <t>TO</t>
  </si>
  <si>
    <t>Future Value</t>
  </si>
  <si>
    <t>Effective Interest Rate</t>
  </si>
  <si>
    <t>Period (Years)</t>
  </si>
  <si>
    <t>Period (Months)</t>
  </si>
  <si>
    <t>Effective Interest Rate per Period</t>
  </si>
  <si>
    <t>Period (Quarters)</t>
  </si>
  <si>
    <t>Period (Half-Yearly)</t>
  </si>
  <si>
    <t>Effective Per Period</t>
  </si>
  <si>
    <t>Monthly</t>
  </si>
  <si>
    <t>Quarterly</t>
  </si>
  <si>
    <t xml:space="preserve">Semi-Annually </t>
  </si>
  <si>
    <t>Two-Yearly</t>
  </si>
  <si>
    <t>Nominal Compounded</t>
  </si>
  <si>
    <t>Effective Interest Rate per Month</t>
  </si>
  <si>
    <t>Effective Interest Rate per Quarter</t>
  </si>
  <si>
    <t>Effective Interest Rate Semi-Annually</t>
  </si>
  <si>
    <t>Effective Interest Rate Two-Yearly</t>
  </si>
  <si>
    <t>Payment Each Period</t>
  </si>
  <si>
    <t>Number of Periods</t>
  </si>
  <si>
    <t>Continuously Compounded</t>
  </si>
  <si>
    <t>Year</t>
  </si>
  <si>
    <t>Month</t>
  </si>
  <si>
    <t>Quarter</t>
  </si>
  <si>
    <t>Half-Year</t>
  </si>
  <si>
    <t>Second-Year</t>
  </si>
  <si>
    <t>Nominal Compounded Monthly</t>
  </si>
  <si>
    <t>Nominal Compounded Quarterly</t>
  </si>
  <si>
    <t>Nominal Compounded Semi-Annually</t>
  </si>
  <si>
    <t>Nominal Compounded Two-Yearly</t>
  </si>
  <si>
    <t>Continuously Compounded Interest Rate</t>
  </si>
  <si>
    <t xml:space="preserve">Period </t>
  </si>
  <si>
    <t>Payments at End of Period</t>
  </si>
  <si>
    <t>Payment each Period</t>
  </si>
  <si>
    <t>End Value</t>
  </si>
  <si>
    <t>Payments at Start of Period</t>
  </si>
  <si>
    <t>Payments at Start and End of Period</t>
  </si>
  <si>
    <t>Initial Investment</t>
  </si>
  <si>
    <t>Investment each Period</t>
  </si>
  <si>
    <t>Investments at End of Period</t>
  </si>
  <si>
    <t>Investments at Start of Period</t>
  </si>
  <si>
    <t>Investment Each Period</t>
  </si>
  <si>
    <t>Continuous Interest Rate</t>
  </si>
  <si>
    <t>Total Amount of Payments per Year</t>
  </si>
  <si>
    <t>Payment each Period (month)</t>
  </si>
  <si>
    <r>
      <t xml:space="preserve">Number of </t>
    </r>
    <r>
      <rPr>
        <b/>
        <sz val="11"/>
        <color theme="1"/>
        <rFont val="Calibri"/>
        <family val="2"/>
        <scheme val="minor"/>
      </rPr>
      <t>Years</t>
    </r>
  </si>
  <si>
    <t>Investments Increasing Each Period</t>
  </si>
  <si>
    <t>Increase Each Period</t>
  </si>
  <si>
    <t>Total Amount Invested in One year</t>
  </si>
  <si>
    <r>
      <t xml:space="preserve">Number of </t>
    </r>
    <r>
      <rPr>
        <b/>
        <i/>
        <sz val="11"/>
        <color theme="1"/>
        <rFont val="Calibri"/>
        <family val="2"/>
        <scheme val="minor"/>
      </rPr>
      <t>Years</t>
    </r>
  </si>
  <si>
    <t>Total Amount Invested in One Year</t>
  </si>
  <si>
    <t>Continuous Interest Rate per Period</t>
  </si>
  <si>
    <t>Investments at Start &amp; End of Period</t>
  </si>
  <si>
    <t>Withdrawels at End of Period</t>
  </si>
  <si>
    <t>Withdrawel each Period</t>
  </si>
  <si>
    <t>Withdrawels at Start of Period</t>
  </si>
  <si>
    <t>Withdrawels at Start &amp; End of Period</t>
  </si>
  <si>
    <t>Initial  Investment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</si>
</sst>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-&quot;R&quot;* #,##0.00_-;\-&quot;R&quot;* #,##0.00_-;_-&quot;R&quot;* &quot;-&quot;??_-;_-@_-"/>
    <numFmt numFmtId="164" formatCode="_-[$R-1C09]* #,##0.00_-;\-[$R-1C09]* #,##0.00_-;_-[$R-1C09]* &quot;-&quot;??_-;_-@_-"/>
    <numFmt numFmtId="165" formatCode="0.000%"/>
    <numFmt numFmtId="166" formatCode="0.00000000000000%"/>
    <numFmt numFmtId="178" formatCode="0.000"/>
    <numFmt numFmtId="186" formatCode="_-&quot;R&quot;* #,##0_-;\-&quot;R&quot;* #,##0_-;_-&quot;R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9">
    <xf numFmtId="0" fontId="0" fillId="0" borderId="0" xfId="0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/>
    <xf numFmtId="9" fontId="0" fillId="0" borderId="1" xfId="2" applyFont="1" applyBorder="1"/>
    <xf numFmtId="9" fontId="0" fillId="0" borderId="0" xfId="2" applyFont="1" applyBorder="1"/>
    <xf numFmtId="0" fontId="0" fillId="0" borderId="1" xfId="2" applyNumberFormat="1" applyFont="1" applyBorder="1" applyAlignment="1">
      <alignment horizontal="right"/>
    </xf>
    <xf numFmtId="44" fontId="0" fillId="0" borderId="1" xfId="1" applyFont="1" applyBorder="1"/>
    <xf numFmtId="0" fontId="0" fillId="0" borderId="0" xfId="0" applyAlignment="1">
      <alignment horizontal="left" indent="2"/>
    </xf>
    <xf numFmtId="0" fontId="5" fillId="0" borderId="0" xfId="0" applyFont="1" applyAlignment="1">
      <alignment horizontal="left"/>
    </xf>
    <xf numFmtId="0" fontId="0" fillId="0" borderId="0" xfId="0" applyBorder="1"/>
    <xf numFmtId="165" fontId="0" fillId="0" borderId="5" xfId="2" applyNumberFormat="1" applyFont="1" applyBorder="1"/>
    <xf numFmtId="165" fontId="0" fillId="0" borderId="1" xfId="2" applyNumberFormat="1" applyFont="1" applyBorder="1"/>
    <xf numFmtId="165" fontId="0" fillId="0" borderId="0" xfId="2" applyNumberFormat="1" applyFont="1" applyBorder="1"/>
    <xf numFmtId="0" fontId="0" fillId="0" borderId="5" xfId="0" applyBorder="1"/>
    <xf numFmtId="44" fontId="0" fillId="0" borderId="5" xfId="1" applyFont="1" applyBorder="1"/>
    <xf numFmtId="166" fontId="0" fillId="0" borderId="5" xfId="2" applyNumberFormat="1" applyFont="1" applyBorder="1"/>
    <xf numFmtId="0" fontId="2" fillId="0" borderId="0" xfId="0" applyFont="1" applyBorder="1"/>
    <xf numFmtId="44" fontId="4" fillId="0" borderId="0" xfId="1" applyFont="1" applyBorder="1" applyAlignment="1">
      <alignment horizontal="center"/>
    </xf>
    <xf numFmtId="164" fontId="0" fillId="0" borderId="5" xfId="0" applyNumberFormat="1" applyBorder="1"/>
    <xf numFmtId="0" fontId="6" fillId="0" borderId="0" xfId="0" applyFont="1" applyAlignment="1">
      <alignment horizontal="center"/>
    </xf>
    <xf numFmtId="44" fontId="7" fillId="0" borderId="2" xfId="1" applyFont="1" applyBorder="1" applyAlignment="1">
      <alignment horizontal="center" vertical="center"/>
    </xf>
    <xf numFmtId="44" fontId="7" fillId="0" borderId="4" xfId="1" applyFont="1" applyBorder="1" applyAlignment="1">
      <alignment horizontal="center" vertical="center"/>
    </xf>
    <xf numFmtId="44" fontId="7" fillId="0" borderId="3" xfId="1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4" fontId="4" fillId="0" borderId="6" xfId="1" applyFont="1" applyBorder="1" applyAlignment="1">
      <alignment horizontal="center"/>
    </xf>
    <xf numFmtId="44" fontId="4" fillId="0" borderId="7" xfId="1" applyFont="1" applyBorder="1" applyAlignment="1">
      <alignment horizontal="center"/>
    </xf>
    <xf numFmtId="44" fontId="4" fillId="0" borderId="8" xfId="1" applyFont="1" applyBorder="1" applyAlignment="1">
      <alignment horizontal="center"/>
    </xf>
    <xf numFmtId="1" fontId="4" fillId="0" borderId="6" xfId="1" applyNumberFormat="1" applyFont="1" applyBorder="1" applyAlignment="1">
      <alignment horizontal="center"/>
    </xf>
    <xf numFmtId="1" fontId="4" fillId="0" borderId="7" xfId="1" applyNumberFormat="1" applyFont="1" applyBorder="1" applyAlignment="1">
      <alignment horizontal="center"/>
    </xf>
    <xf numFmtId="1" fontId="4" fillId="0" borderId="8" xfId="1" applyNumberFormat="1" applyFont="1" applyBorder="1" applyAlignment="1">
      <alignment horizontal="center"/>
    </xf>
    <xf numFmtId="44" fontId="4" fillId="0" borderId="0" xfId="1" applyFont="1" applyBorder="1" applyAlignment="1">
      <alignment horizontal="center"/>
    </xf>
    <xf numFmtId="44" fontId="0" fillId="0" borderId="6" xfId="1" applyFont="1" applyBorder="1" applyAlignment="1">
      <alignment horizontal="center"/>
    </xf>
    <xf numFmtId="44" fontId="0" fillId="0" borderId="7" xfId="1" applyFont="1" applyBorder="1" applyAlignment="1">
      <alignment horizontal="center"/>
    </xf>
    <xf numFmtId="44" fontId="0" fillId="0" borderId="8" xfId="1" applyFont="1" applyBorder="1" applyAlignment="1">
      <alignment horizontal="center"/>
    </xf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0" borderId="0" xfId="0" applyFont="1" applyFill="1" applyBorder="1"/>
    <xf numFmtId="44" fontId="4" fillId="0" borderId="0" xfId="1" applyFont="1" applyFill="1" applyBorder="1" applyAlignment="1">
      <alignment horizontal="center"/>
    </xf>
    <xf numFmtId="0" fontId="2" fillId="7" borderId="0" xfId="0" applyFont="1" applyFill="1"/>
    <xf numFmtId="178" fontId="4" fillId="0" borderId="6" xfId="1" applyNumberFormat="1" applyFont="1" applyBorder="1" applyAlignment="1">
      <alignment horizontal="center"/>
    </xf>
    <xf numFmtId="178" fontId="4" fillId="0" borderId="7" xfId="1" applyNumberFormat="1" applyFont="1" applyBorder="1" applyAlignment="1">
      <alignment horizontal="center"/>
    </xf>
    <xf numFmtId="178" fontId="4" fillId="0" borderId="8" xfId="1" applyNumberFormat="1" applyFont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9" fontId="7" fillId="0" borderId="2" xfId="2" applyFont="1" applyBorder="1" applyAlignment="1">
      <alignment horizontal="center" vertical="center"/>
    </xf>
    <xf numFmtId="9" fontId="7" fillId="0" borderId="4" xfId="2" applyFont="1" applyBorder="1" applyAlignment="1">
      <alignment horizontal="center" vertical="center"/>
    </xf>
    <xf numFmtId="9" fontId="7" fillId="0" borderId="3" xfId="2" applyFont="1" applyBorder="1" applyAlignment="1">
      <alignment horizontal="center" vertical="center"/>
    </xf>
    <xf numFmtId="0" fontId="6" fillId="4" borderId="0" xfId="0" applyFont="1" applyFill="1"/>
    <xf numFmtId="44" fontId="0" fillId="0" borderId="1" xfId="1" applyFont="1" applyBorder="1" applyAlignment="1">
      <alignment horizontal="right"/>
    </xf>
    <xf numFmtId="178" fontId="7" fillId="0" borderId="2" xfId="1" applyNumberFormat="1" applyFont="1" applyBorder="1" applyAlignment="1">
      <alignment horizontal="center" vertical="center"/>
    </xf>
    <xf numFmtId="178" fontId="7" fillId="0" borderId="4" xfId="1" applyNumberFormat="1" applyFont="1" applyBorder="1" applyAlignment="1">
      <alignment horizontal="center" vertical="center"/>
    </xf>
    <xf numFmtId="178" fontId="7" fillId="0" borderId="3" xfId="1" applyNumberFormat="1" applyFont="1" applyBorder="1" applyAlignment="1">
      <alignment horizontal="center" vertical="center"/>
    </xf>
    <xf numFmtId="44" fontId="4" fillId="0" borderId="6" xfId="1" applyNumberFormat="1" applyFont="1" applyBorder="1" applyAlignment="1">
      <alignment horizontal="center"/>
    </xf>
    <xf numFmtId="44" fontId="4" fillId="0" borderId="7" xfId="1" applyNumberFormat="1" applyFont="1" applyBorder="1" applyAlignment="1">
      <alignment horizontal="center"/>
    </xf>
    <xf numFmtId="44" fontId="4" fillId="0" borderId="8" xfId="1" applyNumberFormat="1" applyFont="1" applyBorder="1" applyAlignment="1">
      <alignment horizontal="center"/>
    </xf>
    <xf numFmtId="186" fontId="4" fillId="0" borderId="6" xfId="1" applyNumberFormat="1" applyFont="1" applyBorder="1" applyAlignment="1">
      <alignment horizontal="center"/>
    </xf>
    <xf numFmtId="186" fontId="4" fillId="0" borderId="7" xfId="1" applyNumberFormat="1" applyFont="1" applyBorder="1" applyAlignment="1">
      <alignment horizontal="center"/>
    </xf>
    <xf numFmtId="186" fontId="4" fillId="0" borderId="8" xfId="1" applyNumberFormat="1" applyFont="1" applyBorder="1" applyAlignment="1">
      <alignment horizontal="center"/>
    </xf>
    <xf numFmtId="0" fontId="2" fillId="4" borderId="0" xfId="0" applyFont="1" applyFill="1" applyBorder="1"/>
    <xf numFmtId="0" fontId="6" fillId="2" borderId="0" xfId="0" applyFont="1" applyFill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61"/>
  <sheetViews>
    <sheetView tabSelected="1" workbookViewId="0">
      <selection activeCell="K61" sqref="K61"/>
    </sheetView>
  </sheetViews>
  <sheetFormatPr defaultRowHeight="15" x14ac:dyDescent="0.25"/>
  <cols>
    <col min="1" max="1" width="35" bestFit="1" customWidth="1"/>
    <col min="3" max="3" width="2.5703125" customWidth="1"/>
    <col min="4" max="4" width="25.7109375" bestFit="1" customWidth="1"/>
    <col min="5" max="5" width="18.42578125" bestFit="1" customWidth="1"/>
    <col min="6" max="6" width="2.85546875" customWidth="1"/>
    <col min="7" max="7" width="35" bestFit="1" customWidth="1"/>
    <col min="9" max="9" width="3.42578125" customWidth="1"/>
    <col min="10" max="10" width="27" customWidth="1"/>
  </cols>
  <sheetData>
    <row r="1" spans="1:11" ht="18.75" x14ac:dyDescent="0.3">
      <c r="A1" s="1" t="s">
        <v>0</v>
      </c>
      <c r="B1" s="2"/>
      <c r="C1" s="2"/>
      <c r="D1" s="1" t="s">
        <v>1</v>
      </c>
      <c r="G1" s="1" t="s">
        <v>0</v>
      </c>
      <c r="H1" s="2"/>
      <c r="I1" s="2"/>
      <c r="J1" s="1" t="s">
        <v>1</v>
      </c>
    </row>
    <row r="2" spans="1:11" ht="15.75" thickBot="1" x14ac:dyDescent="0.3"/>
    <row r="3" spans="1:11" ht="15.75" thickBot="1" x14ac:dyDescent="0.3">
      <c r="A3" t="s">
        <v>5</v>
      </c>
      <c r="B3" s="16">
        <v>0.05</v>
      </c>
      <c r="C3" s="9"/>
      <c r="D3" s="4" t="s">
        <v>11</v>
      </c>
      <c r="E3" s="14"/>
      <c r="G3" t="s">
        <v>29</v>
      </c>
      <c r="H3" s="16">
        <v>4.8890000000000003E-2</v>
      </c>
      <c r="J3" s="4" t="s">
        <v>11</v>
      </c>
      <c r="K3" s="14"/>
    </row>
    <row r="4" spans="1:11" x14ac:dyDescent="0.25">
      <c r="D4" s="12" t="s">
        <v>25</v>
      </c>
      <c r="E4" s="15">
        <f>(1+B3)^(1/12)-1</f>
        <v>4.0741237836483535E-3</v>
      </c>
      <c r="J4" s="12" t="s">
        <v>24</v>
      </c>
      <c r="K4" s="15">
        <f>(1+H3/12)^12-1</f>
        <v>5.0000538133733841E-2</v>
      </c>
    </row>
    <row r="5" spans="1:11" x14ac:dyDescent="0.25">
      <c r="D5" s="12" t="s">
        <v>26</v>
      </c>
      <c r="E5" s="15">
        <f>(1+B3)^(1/4)-1</f>
        <v>1.2272234429039353E-2</v>
      </c>
      <c r="J5" s="12" t="s">
        <v>25</v>
      </c>
      <c r="K5" s="15">
        <f>H3/12</f>
        <v>4.0741666666666669E-3</v>
      </c>
    </row>
    <row r="6" spans="1:11" x14ac:dyDescent="0.25">
      <c r="D6" s="12" t="s">
        <v>27</v>
      </c>
      <c r="E6" s="15">
        <f>(1+B3)^(1/2)-1</f>
        <v>2.4695076595959931E-2</v>
      </c>
      <c r="J6" s="12" t="s">
        <v>26</v>
      </c>
      <c r="K6" s="15">
        <f>(1+H3/12)^(12/4)-1</f>
        <v>1.2272364128499413E-2</v>
      </c>
    </row>
    <row r="7" spans="1:11" x14ac:dyDescent="0.25">
      <c r="D7" s="12" t="s">
        <v>28</v>
      </c>
      <c r="E7" s="15">
        <f>(1+B3)^(2)-1</f>
        <v>0.10250000000000004</v>
      </c>
      <c r="J7" s="12" t="s">
        <v>27</v>
      </c>
      <c r="K7" s="15">
        <f>(1+H3/12)^(12/2)-1</f>
        <v>2.4695339178301134E-2</v>
      </c>
    </row>
    <row r="8" spans="1:11" x14ac:dyDescent="0.25">
      <c r="D8" s="13" t="s">
        <v>16</v>
      </c>
      <c r="E8" s="14"/>
      <c r="J8" s="12" t="s">
        <v>28</v>
      </c>
      <c r="K8" s="15">
        <f>(1+H3/12)^(12*2)-1</f>
        <v>0.10250113008113049</v>
      </c>
    </row>
    <row r="9" spans="1:11" x14ac:dyDescent="0.25">
      <c r="D9" s="12" t="s">
        <v>12</v>
      </c>
      <c r="E9" s="15">
        <f>E4*12</f>
        <v>4.8889485403780242E-2</v>
      </c>
      <c r="J9" s="13" t="s">
        <v>16</v>
      </c>
      <c r="K9" s="17"/>
    </row>
    <row r="10" spans="1:11" x14ac:dyDescent="0.25">
      <c r="D10" s="12" t="s">
        <v>13</v>
      </c>
      <c r="E10" s="15">
        <f>E5*4</f>
        <v>4.908893771615741E-2</v>
      </c>
      <c r="J10" s="12" t="s">
        <v>13</v>
      </c>
      <c r="K10" s="15">
        <f>K6*4</f>
        <v>4.9089456513997654E-2</v>
      </c>
    </row>
    <row r="11" spans="1:11" x14ac:dyDescent="0.25">
      <c r="D11" s="12" t="s">
        <v>14</v>
      </c>
      <c r="E11" s="15">
        <f>E6*2</f>
        <v>4.9390153191919861E-2</v>
      </c>
      <c r="F11" s="14"/>
      <c r="J11" s="12" t="s">
        <v>14</v>
      </c>
      <c r="K11" s="15">
        <f>K7*2</f>
        <v>4.9390678356602269E-2</v>
      </c>
    </row>
    <row r="12" spans="1:11" x14ac:dyDescent="0.25">
      <c r="D12" s="12" t="s">
        <v>15</v>
      </c>
      <c r="E12" s="15">
        <f>E7*1/2</f>
        <v>5.1250000000000018E-2</v>
      </c>
      <c r="F12" s="14"/>
      <c r="J12" s="12" t="s">
        <v>15</v>
      </c>
      <c r="K12" s="15">
        <f>K8*1/2</f>
        <v>5.1250565040565244E-2</v>
      </c>
    </row>
    <row r="13" spans="1:11" x14ac:dyDescent="0.25">
      <c r="D13" s="13" t="s">
        <v>23</v>
      </c>
      <c r="E13" s="20">
        <f>LN(B3+1)</f>
        <v>4.8790164169432049E-2</v>
      </c>
      <c r="F13" s="14"/>
      <c r="J13" s="13" t="s">
        <v>23</v>
      </c>
      <c r="K13" s="15">
        <f>LN(K4+1)</f>
        <v>4.8790676677618612E-2</v>
      </c>
    </row>
    <row r="14" spans="1:11" ht="15.75" thickBot="1" x14ac:dyDescent="0.3"/>
    <row r="15" spans="1:11" ht="15.75" thickBot="1" x14ac:dyDescent="0.3">
      <c r="A15" t="s">
        <v>17</v>
      </c>
      <c r="B15" s="16">
        <v>4.0741199999999997E-3</v>
      </c>
      <c r="C15" s="17"/>
      <c r="D15" s="4" t="s">
        <v>11</v>
      </c>
      <c r="E15" s="14"/>
      <c r="G15" t="s">
        <v>30</v>
      </c>
      <c r="H15" s="16">
        <v>4.9090000000000002E-2</v>
      </c>
      <c r="J15" s="4" t="s">
        <v>11</v>
      </c>
      <c r="K15" s="14"/>
    </row>
    <row r="16" spans="1:11" x14ac:dyDescent="0.25">
      <c r="D16" s="12" t="s">
        <v>24</v>
      </c>
      <c r="E16" s="15">
        <f>(1+$B$15)^(12)-1</f>
        <v>4.9999952519474311E-2</v>
      </c>
      <c r="J16" s="12" t="s">
        <v>24</v>
      </c>
      <c r="K16" s="15">
        <f>(1+H15/4)^4-1</f>
        <v>5.0001101875992937E-2</v>
      </c>
    </row>
    <row r="17" spans="1:11" x14ac:dyDescent="0.25">
      <c r="D17" s="12" t="s">
        <v>26</v>
      </c>
      <c r="E17" s="15">
        <f>(1+$B$15)^(12/4)-1</f>
        <v>1.2272222985415748E-2</v>
      </c>
      <c r="F17" s="14"/>
      <c r="J17" s="12" t="s">
        <v>25</v>
      </c>
      <c r="K17" s="15">
        <f>(1+H15/4)^(4/12)-1</f>
        <v>4.074211590365806E-3</v>
      </c>
    </row>
    <row r="18" spans="1:11" x14ac:dyDescent="0.25">
      <c r="D18" s="12" t="s">
        <v>27</v>
      </c>
      <c r="E18" s="15">
        <f>(1+$B$15)^(12/2)-1</f>
        <v>2.4695053427835401E-2</v>
      </c>
      <c r="J18" s="12" t="s">
        <v>26</v>
      </c>
      <c r="K18" s="15">
        <f>H15/4</f>
        <v>1.22725E-2</v>
      </c>
    </row>
    <row r="19" spans="1:11" x14ac:dyDescent="0.25">
      <c r="D19" s="12" t="s">
        <v>28</v>
      </c>
      <c r="E19" s="15">
        <f>(1+$B$15)^(12*2)-1</f>
        <v>0.10249990029089839</v>
      </c>
      <c r="J19" s="12" t="s">
        <v>27</v>
      </c>
      <c r="K19" s="15">
        <f>(1+H15/4)^(4/2)-1</f>
        <v>2.4695614256249776E-2</v>
      </c>
    </row>
    <row r="20" spans="1:11" x14ac:dyDescent="0.25">
      <c r="D20" s="13" t="s">
        <v>16</v>
      </c>
      <c r="E20" s="14"/>
      <c r="J20" s="12" t="s">
        <v>28</v>
      </c>
      <c r="K20" s="15">
        <f>(1+H15/4)^(4*2)-1</f>
        <v>0.10250231394079923</v>
      </c>
    </row>
    <row r="21" spans="1:11" x14ac:dyDescent="0.25">
      <c r="D21" s="12" t="s">
        <v>12</v>
      </c>
      <c r="E21" s="15">
        <f>B15*12</f>
        <v>4.8889439999999992E-2</v>
      </c>
      <c r="J21" s="13" t="s">
        <v>16</v>
      </c>
      <c r="K21" s="17"/>
    </row>
    <row r="22" spans="1:11" x14ac:dyDescent="0.25">
      <c r="D22" s="12" t="s">
        <v>13</v>
      </c>
      <c r="E22" s="15">
        <f>E17*4</f>
        <v>4.9088891941662993E-2</v>
      </c>
      <c r="J22" s="12" t="s">
        <v>12</v>
      </c>
      <c r="K22" s="15">
        <f>K18*4</f>
        <v>4.9090000000000002E-2</v>
      </c>
    </row>
    <row r="23" spans="1:11" x14ac:dyDescent="0.25">
      <c r="D23" s="12" t="s">
        <v>14</v>
      </c>
      <c r="E23" s="15">
        <f>E18*2</f>
        <v>4.9390106855670801E-2</v>
      </c>
      <c r="J23" s="12" t="s">
        <v>14</v>
      </c>
      <c r="K23" s="15">
        <f>K19*2</f>
        <v>4.9391228512499552E-2</v>
      </c>
    </row>
    <row r="24" spans="1:11" x14ac:dyDescent="0.25">
      <c r="D24" s="12" t="s">
        <v>15</v>
      </c>
      <c r="E24" s="15">
        <f>E19*1/2</f>
        <v>5.1249950145449197E-2</v>
      </c>
      <c r="J24" s="12" t="s">
        <v>15</v>
      </c>
      <c r="K24" s="15">
        <f>K20*1/2</f>
        <v>5.1251156970399614E-2</v>
      </c>
    </row>
    <row r="25" spans="1:11" x14ac:dyDescent="0.25">
      <c r="D25" s="13" t="s">
        <v>23</v>
      </c>
      <c r="E25" s="15">
        <f>LN(E16+1)</f>
        <v>4.8790118949882708E-2</v>
      </c>
      <c r="J25" s="13" t="s">
        <v>23</v>
      </c>
      <c r="K25" s="15">
        <f>LN(K16+1)</f>
        <v>4.8791213574588939E-2</v>
      </c>
    </row>
    <row r="26" spans="1:11" ht="15.75" thickBot="1" x14ac:dyDescent="0.3"/>
    <row r="27" spans="1:11" ht="15.75" thickBot="1" x14ac:dyDescent="0.3">
      <c r="A27" t="s">
        <v>18</v>
      </c>
      <c r="B27" s="16">
        <v>1.227223E-2</v>
      </c>
      <c r="C27" s="17"/>
      <c r="D27" s="4" t="s">
        <v>11</v>
      </c>
      <c r="E27" s="14"/>
      <c r="G27" t="s">
        <v>31</v>
      </c>
      <c r="H27" s="16">
        <v>4.9390000000000003E-2</v>
      </c>
      <c r="J27" s="4" t="s">
        <v>11</v>
      </c>
      <c r="K27" s="14"/>
    </row>
    <row r="28" spans="1:11" x14ac:dyDescent="0.25">
      <c r="D28" s="12" t="s">
        <v>24</v>
      </c>
      <c r="E28" s="15">
        <f>(1+$B$27)^(4)-1</f>
        <v>4.9999981623555012E-2</v>
      </c>
      <c r="J28" s="12" t="s">
        <v>24</v>
      </c>
      <c r="K28" s="15">
        <f>(1+H27/2)^2-1</f>
        <v>4.9999843024999713E-2</v>
      </c>
    </row>
    <row r="29" spans="1:11" x14ac:dyDescent="0.25">
      <c r="D29" s="12" t="s">
        <v>25</v>
      </c>
      <c r="E29" s="15">
        <f>(1+$B$27)^(4/12)-1</f>
        <v>4.0741223192584108E-3</v>
      </c>
      <c r="J29" s="12" t="s">
        <v>25</v>
      </c>
      <c r="K29" s="15">
        <f>(1+H27/2)^(2/12)-1</f>
        <v>4.0741112745572572E-3</v>
      </c>
    </row>
    <row r="30" spans="1:11" x14ac:dyDescent="0.25">
      <c r="D30" s="12" t="s">
        <v>27</v>
      </c>
      <c r="E30" s="15">
        <f>(1+$B$27)^(4/2)-1</f>
        <v>2.469506762917284E-2</v>
      </c>
      <c r="J30" s="12" t="s">
        <v>26</v>
      </c>
      <c r="K30" s="15">
        <f>(1+H27/2)^(2/4)-1</f>
        <v>1.2272196595362272E-2</v>
      </c>
    </row>
    <row r="31" spans="1:11" x14ac:dyDescent="0.25">
      <c r="D31" s="12" t="s">
        <v>28</v>
      </c>
      <c r="E31" s="15">
        <f>(1+$B$27)^(4*2)-1</f>
        <v>0.10249996140946593</v>
      </c>
      <c r="J31" s="12" t="s">
        <v>27</v>
      </c>
      <c r="K31" s="15">
        <f>H27/2</f>
        <v>2.4695000000000002E-2</v>
      </c>
    </row>
    <row r="32" spans="1:11" x14ac:dyDescent="0.25">
      <c r="D32" s="13" t="s">
        <v>16</v>
      </c>
      <c r="E32" s="14"/>
      <c r="J32" s="12" t="s">
        <v>28</v>
      </c>
      <c r="K32" s="15">
        <f>(1+H27/2)^(2*2)-1</f>
        <v>0.10249967035252405</v>
      </c>
    </row>
    <row r="33" spans="1:11" x14ac:dyDescent="0.25">
      <c r="D33" s="12" t="s">
        <v>12</v>
      </c>
      <c r="E33" s="15">
        <f>E29*12</f>
        <v>4.888946783110093E-2</v>
      </c>
      <c r="J33" s="13" t="s">
        <v>16</v>
      </c>
      <c r="K33" s="17"/>
    </row>
    <row r="34" spans="1:11" x14ac:dyDescent="0.25">
      <c r="D34" s="12" t="s">
        <v>13</v>
      </c>
      <c r="E34" s="15">
        <f>B27*4</f>
        <v>4.9088920000000001E-2</v>
      </c>
      <c r="J34" s="12" t="s">
        <v>12</v>
      </c>
      <c r="K34" s="15">
        <f>K29*12</f>
        <v>4.8889335294687086E-2</v>
      </c>
    </row>
    <row r="35" spans="1:11" x14ac:dyDescent="0.25">
      <c r="D35" s="12" t="s">
        <v>14</v>
      </c>
      <c r="E35" s="15">
        <f>E30*2</f>
        <v>4.939013525834568E-2</v>
      </c>
      <c r="J35" s="12" t="s">
        <v>13</v>
      </c>
      <c r="K35" s="15">
        <f>K30*4</f>
        <v>4.908878638144909E-2</v>
      </c>
    </row>
    <row r="36" spans="1:11" x14ac:dyDescent="0.25">
      <c r="D36" s="12" t="s">
        <v>15</v>
      </c>
      <c r="E36" s="15">
        <f>E31*1/2</f>
        <v>5.1249980704732967E-2</v>
      </c>
      <c r="J36" s="12" t="s">
        <v>15</v>
      </c>
      <c r="K36" s="15">
        <f>K32/2</f>
        <v>5.1249835176262026E-2</v>
      </c>
    </row>
    <row r="37" spans="1:11" x14ac:dyDescent="0.25">
      <c r="D37" s="13" t="s">
        <v>23</v>
      </c>
      <c r="E37" s="15">
        <f>LN(E28+1)</f>
        <v>4.8790146668055673E-2</v>
      </c>
      <c r="J37" s="13" t="s">
        <v>23</v>
      </c>
      <c r="K37" s="15">
        <f>LN(K28+1)</f>
        <v>4.8790014669420553E-2</v>
      </c>
    </row>
    <row r="38" spans="1:11" ht="15.75" thickBot="1" x14ac:dyDescent="0.3"/>
    <row r="39" spans="1:11" ht="15.75" thickBot="1" x14ac:dyDescent="0.3">
      <c r="A39" t="s">
        <v>19</v>
      </c>
      <c r="B39" s="16">
        <v>2.47E-2</v>
      </c>
      <c r="C39" s="17"/>
      <c r="D39" s="4" t="s">
        <v>11</v>
      </c>
      <c r="E39" s="14"/>
      <c r="G39" t="s">
        <v>32</v>
      </c>
      <c r="H39" s="16">
        <v>5.1249999999999997E-2</v>
      </c>
      <c r="J39" s="4" t="s">
        <v>11</v>
      </c>
      <c r="K39" s="14"/>
    </row>
    <row r="40" spans="1:11" x14ac:dyDescent="0.25">
      <c r="D40" s="12" t="s">
        <v>24</v>
      </c>
      <c r="E40" s="15">
        <f>(1+$B$39)^(2)-1</f>
        <v>5.0010089999999785E-2</v>
      </c>
      <c r="J40" s="12" t="s">
        <v>24</v>
      </c>
      <c r="K40" s="15">
        <f>(1+H39*2)^(1/2)-1</f>
        <v>5.0000000000000044E-2</v>
      </c>
    </row>
    <row r="41" spans="1:11" x14ac:dyDescent="0.25">
      <c r="D41" s="12" t="s">
        <v>25</v>
      </c>
      <c r="E41" s="15">
        <f>(1+$B$39)^(2/12)-1</f>
        <v>4.0749278362901542E-3</v>
      </c>
      <c r="J41" s="12" t="s">
        <v>25</v>
      </c>
      <c r="K41" s="15">
        <f>(1+H39*2)^(1/2/12)-1</f>
        <v>4.0741237836483535E-3</v>
      </c>
    </row>
    <row r="42" spans="1:11" x14ac:dyDescent="0.25">
      <c r="D42" s="12" t="s">
        <v>26</v>
      </c>
      <c r="E42" s="15">
        <f>(1+$B$39)^(2/4)-1</f>
        <v>1.2274666283810465E-2</v>
      </c>
      <c r="J42" s="12" t="s">
        <v>26</v>
      </c>
      <c r="K42" s="15">
        <f>(1+H39*2)^(1/2/4)-1</f>
        <v>1.2272234429039353E-2</v>
      </c>
    </row>
    <row r="43" spans="1:11" x14ac:dyDescent="0.25">
      <c r="D43" s="12" t="s">
        <v>28</v>
      </c>
      <c r="E43" s="15">
        <f>(1+$B$39)^(2*2)-1</f>
        <v>0.10252118910180763</v>
      </c>
      <c r="J43" s="12" t="s">
        <v>27</v>
      </c>
      <c r="K43" s="15">
        <f>(1+H39*2)^(1/2/2)-1</f>
        <v>2.4695076595959931E-2</v>
      </c>
    </row>
    <row r="44" spans="1:11" x14ac:dyDescent="0.25">
      <c r="D44" s="13" t="s">
        <v>16</v>
      </c>
      <c r="E44" s="14"/>
      <c r="J44" s="12" t="s">
        <v>28</v>
      </c>
      <c r="K44" s="15">
        <f>H39*2</f>
        <v>0.10249999999999999</v>
      </c>
    </row>
    <row r="45" spans="1:11" x14ac:dyDescent="0.25">
      <c r="D45" s="12" t="s">
        <v>12</v>
      </c>
      <c r="E45" s="15">
        <f>E41*12</f>
        <v>4.889913403548185E-2</v>
      </c>
      <c r="J45" s="13" t="s">
        <v>16</v>
      </c>
      <c r="K45" s="17"/>
    </row>
    <row r="46" spans="1:11" x14ac:dyDescent="0.25">
      <c r="D46" s="12" t="s">
        <v>13</v>
      </c>
      <c r="E46" s="15">
        <f>E42*4</f>
        <v>4.9098665135241859E-2</v>
      </c>
      <c r="J46" s="12" t="s">
        <v>12</v>
      </c>
      <c r="K46" s="15">
        <f>K41*12</f>
        <v>4.8889485403780242E-2</v>
      </c>
    </row>
    <row r="47" spans="1:11" x14ac:dyDescent="0.25">
      <c r="D47" s="12" t="s">
        <v>14</v>
      </c>
      <c r="E47" s="15">
        <f>B39*2</f>
        <v>4.9399999999999999E-2</v>
      </c>
      <c r="J47" s="12" t="s">
        <v>13</v>
      </c>
      <c r="K47" s="15">
        <f>K42*4</f>
        <v>4.908893771615741E-2</v>
      </c>
    </row>
    <row r="48" spans="1:11" x14ac:dyDescent="0.25">
      <c r="D48" s="12" t="s">
        <v>15</v>
      </c>
      <c r="E48" s="15">
        <f>E43*1/2</f>
        <v>5.1260594550903815E-2</v>
      </c>
      <c r="J48" s="12" t="s">
        <v>14</v>
      </c>
      <c r="K48" s="15">
        <f>K43*2</f>
        <v>4.9390153191919861E-2</v>
      </c>
    </row>
    <row r="49" spans="1:11" x14ac:dyDescent="0.25">
      <c r="D49" s="13" t="s">
        <v>23</v>
      </c>
      <c r="E49" s="15">
        <f>LN(E40+1)</f>
        <v>4.8799773647070145E-2</v>
      </c>
      <c r="J49" s="13" t="s">
        <v>23</v>
      </c>
      <c r="K49" s="15">
        <f>LN(K40+1)</f>
        <v>4.8790164169432049E-2</v>
      </c>
    </row>
    <row r="50" spans="1:11" ht="15.75" thickBot="1" x14ac:dyDescent="0.3"/>
    <row r="51" spans="1:11" ht="15.75" thickBot="1" x14ac:dyDescent="0.3">
      <c r="A51" t="s">
        <v>20</v>
      </c>
      <c r="B51" s="16">
        <v>0.10249999999999999</v>
      </c>
      <c r="C51" s="17"/>
      <c r="D51" s="4" t="s">
        <v>11</v>
      </c>
      <c r="E51" s="14"/>
      <c r="G51" t="s">
        <v>23</v>
      </c>
      <c r="H51" s="16">
        <v>4.8790164169399998E-2</v>
      </c>
      <c r="J51" s="4" t="s">
        <v>11</v>
      </c>
      <c r="K51" s="14"/>
    </row>
    <row r="52" spans="1:11" x14ac:dyDescent="0.25">
      <c r="D52" s="12" t="s">
        <v>24</v>
      </c>
      <c r="E52" s="15">
        <f>(1+$B$51)^(1/2)-1</f>
        <v>5.0000000000000044E-2</v>
      </c>
      <c r="J52" s="12" t="s">
        <v>24</v>
      </c>
      <c r="K52" s="15">
        <f>EXP(H51)-1</f>
        <v>4.9999999999966294E-2</v>
      </c>
    </row>
    <row r="53" spans="1:11" x14ac:dyDescent="0.25">
      <c r="D53" s="12" t="s">
        <v>25</v>
      </c>
      <c r="E53" s="15">
        <f>(1+$B$51)^(1/2/12)-1</f>
        <v>4.0741237836483535E-3</v>
      </c>
      <c r="J53" s="12" t="s">
        <v>25</v>
      </c>
      <c r="K53" s="15">
        <f>(1+K52)^(1/12)-1</f>
        <v>4.0741237836456889E-3</v>
      </c>
    </row>
    <row r="54" spans="1:11" x14ac:dyDescent="0.25">
      <c r="D54" s="12" t="s">
        <v>26</v>
      </c>
      <c r="E54" s="15">
        <f>(1+$B$51)^(1/2/4)-1</f>
        <v>1.2272234429039353E-2</v>
      </c>
      <c r="J54" s="12" t="s">
        <v>26</v>
      </c>
      <c r="K54" s="15">
        <f>(1+K52)^(1/4)-1</f>
        <v>1.2272234429031137E-2</v>
      </c>
    </row>
    <row r="55" spans="1:11" x14ac:dyDescent="0.25">
      <c r="D55" s="12" t="s">
        <v>27</v>
      </c>
      <c r="E55" s="15">
        <f>(1+$B$51)^(1/2/2)-1</f>
        <v>2.4695076595959931E-2</v>
      </c>
      <c r="J55" s="12" t="s">
        <v>27</v>
      </c>
      <c r="K55" s="15">
        <f>(1+K52)^(1/2)-1</f>
        <v>2.4695076595943499E-2</v>
      </c>
    </row>
    <row r="56" spans="1:11" x14ac:dyDescent="0.25">
      <c r="D56" s="13" t="s">
        <v>16</v>
      </c>
      <c r="E56" s="14"/>
      <c r="J56" s="12" t="s">
        <v>28</v>
      </c>
      <c r="K56" s="15">
        <f>(1+K52)^(2)-1</f>
        <v>0.1024999999999292</v>
      </c>
    </row>
    <row r="57" spans="1:11" x14ac:dyDescent="0.25">
      <c r="D57" s="12" t="s">
        <v>12</v>
      </c>
      <c r="E57" s="15">
        <f>E53*12</f>
        <v>4.8889485403780242E-2</v>
      </c>
      <c r="J57" s="13" t="s">
        <v>16</v>
      </c>
      <c r="K57" s="14"/>
    </row>
    <row r="58" spans="1:11" x14ac:dyDescent="0.25">
      <c r="D58" s="12" t="s">
        <v>13</v>
      </c>
      <c r="E58" s="15">
        <f>E54*4</f>
        <v>4.908893771615741E-2</v>
      </c>
      <c r="J58" s="12" t="s">
        <v>12</v>
      </c>
      <c r="K58" s="15">
        <f>K53*12</f>
        <v>4.8889485403748267E-2</v>
      </c>
    </row>
    <row r="59" spans="1:11" x14ac:dyDescent="0.25">
      <c r="D59" s="12" t="s">
        <v>14</v>
      </c>
      <c r="E59" s="15">
        <f>E55*2</f>
        <v>4.9390153191919861E-2</v>
      </c>
      <c r="J59" s="12" t="s">
        <v>13</v>
      </c>
      <c r="K59" s="15">
        <f>K54*4</f>
        <v>4.9088937716124548E-2</v>
      </c>
    </row>
    <row r="60" spans="1:11" x14ac:dyDescent="0.25">
      <c r="D60" s="12" t="s">
        <v>15</v>
      </c>
      <c r="E60" s="15">
        <f>B51*1/2</f>
        <v>5.1249999999999997E-2</v>
      </c>
      <c r="J60" s="12" t="s">
        <v>14</v>
      </c>
      <c r="K60" s="15">
        <f>K55*2</f>
        <v>4.9390153191886998E-2</v>
      </c>
    </row>
    <row r="61" spans="1:11" x14ac:dyDescent="0.25">
      <c r="D61" s="13" t="s">
        <v>23</v>
      </c>
      <c r="E61" s="15">
        <f>LN(E52+1)</f>
        <v>4.8790164169432049E-2</v>
      </c>
      <c r="J61" s="12" t="s">
        <v>15</v>
      </c>
      <c r="K61" s="15">
        <f>K56*1/2</f>
        <v>5.1249999999964602E-2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J61"/>
  <sheetViews>
    <sheetView topLeftCell="A31" zoomScale="80" zoomScaleNormal="80" workbookViewId="0">
      <selection activeCell="J62" sqref="J62"/>
    </sheetView>
  </sheetViews>
  <sheetFormatPr defaultRowHeight="15" x14ac:dyDescent="0.25"/>
  <cols>
    <col min="1" max="1" width="4" customWidth="1"/>
    <col min="2" max="2" width="38" bestFit="1" customWidth="1"/>
    <col min="3" max="3" width="12.42578125" bestFit="1" customWidth="1"/>
    <col min="4" max="4" width="4.140625" customWidth="1"/>
    <col min="5" max="5" width="33.42578125" bestFit="1" customWidth="1"/>
    <col min="6" max="6" width="3.5703125" customWidth="1"/>
    <col min="7" max="7" width="38" bestFit="1" customWidth="1"/>
    <col min="8" max="8" width="12.42578125" bestFit="1" customWidth="1"/>
    <col min="9" max="9" width="4.42578125" customWidth="1"/>
    <col min="10" max="10" width="25.140625" customWidth="1"/>
  </cols>
  <sheetData>
    <row r="1" spans="2:10" ht="18.75" x14ac:dyDescent="0.3">
      <c r="B1" s="1" t="s">
        <v>0</v>
      </c>
      <c r="C1" s="2"/>
      <c r="D1" s="2"/>
      <c r="E1" s="1" t="s">
        <v>1</v>
      </c>
      <c r="G1" s="1" t="s">
        <v>0</v>
      </c>
      <c r="H1" s="2"/>
      <c r="I1" s="2"/>
      <c r="J1" s="1" t="s">
        <v>1</v>
      </c>
    </row>
    <row r="3" spans="2:10" x14ac:dyDescent="0.25">
      <c r="B3" s="5" t="s">
        <v>2</v>
      </c>
      <c r="C3" s="28" t="s">
        <v>3</v>
      </c>
      <c r="D3" s="28"/>
      <c r="E3" s="50" t="s">
        <v>4</v>
      </c>
      <c r="G3" s="5" t="s">
        <v>4</v>
      </c>
      <c r="H3" s="28" t="s">
        <v>3</v>
      </c>
      <c r="I3" s="28"/>
      <c r="J3" s="52" t="s">
        <v>40</v>
      </c>
    </row>
    <row r="4" spans="2:10" ht="15.75" thickBot="1" x14ac:dyDescent="0.3"/>
    <row r="5" spans="2:10" ht="15.75" thickBot="1" x14ac:dyDescent="0.3">
      <c r="B5" s="7" t="s">
        <v>5</v>
      </c>
      <c r="C5" s="8">
        <v>0.1</v>
      </c>
      <c r="E5" s="25">
        <f>C7*(1+C5)^C6</f>
        <v>161.05100000000004</v>
      </c>
      <c r="G5" s="7" t="s">
        <v>5</v>
      </c>
      <c r="H5" s="8">
        <v>0.1</v>
      </c>
      <c r="J5" s="25">
        <f>H7*(1+H5)^-H6</f>
        <v>99.99937907867691</v>
      </c>
    </row>
    <row r="6" spans="2:10" ht="15.75" thickBot="1" x14ac:dyDescent="0.3">
      <c r="B6" s="7" t="s">
        <v>6</v>
      </c>
      <c r="C6" s="10">
        <v>5</v>
      </c>
      <c r="E6" s="26"/>
      <c r="G6" s="7" t="s">
        <v>6</v>
      </c>
      <c r="H6" s="10">
        <v>5</v>
      </c>
      <c r="J6" s="26"/>
    </row>
    <row r="7" spans="2:10" ht="15.75" thickBot="1" x14ac:dyDescent="0.3">
      <c r="B7" s="7" t="s">
        <v>40</v>
      </c>
      <c r="C7" s="11">
        <v>100</v>
      </c>
      <c r="E7" s="27"/>
      <c r="G7" s="7" t="s">
        <v>4</v>
      </c>
      <c r="H7" s="11">
        <v>161.05000000000001</v>
      </c>
      <c r="J7" s="27"/>
    </row>
    <row r="9" spans="2:10" x14ac:dyDescent="0.25">
      <c r="B9" s="5" t="s">
        <v>2</v>
      </c>
      <c r="C9" s="28" t="s">
        <v>3</v>
      </c>
      <c r="D9" s="28"/>
      <c r="E9" s="50" t="s">
        <v>4</v>
      </c>
      <c r="G9" s="5" t="s">
        <v>4</v>
      </c>
      <c r="H9" s="28" t="s">
        <v>3</v>
      </c>
      <c r="I9" s="28"/>
      <c r="J9" s="52" t="s">
        <v>40</v>
      </c>
    </row>
    <row r="10" spans="2:10" ht="15.75" thickBot="1" x14ac:dyDescent="0.3"/>
    <row r="11" spans="2:10" ht="15.75" thickBot="1" x14ac:dyDescent="0.3">
      <c r="B11" s="7" t="s">
        <v>8</v>
      </c>
      <c r="C11" s="8">
        <v>0.1</v>
      </c>
      <c r="E11" s="25">
        <f>C13*(1+C11)^C12</f>
        <v>30448.163954141932</v>
      </c>
      <c r="G11" s="7" t="s">
        <v>8</v>
      </c>
      <c r="H11" s="8">
        <v>0.1</v>
      </c>
      <c r="J11" s="25">
        <f>H13*(1+H11)^-H12</f>
        <v>99.99998701352915</v>
      </c>
    </row>
    <row r="12" spans="2:10" ht="15.75" thickBot="1" x14ac:dyDescent="0.3">
      <c r="B12" s="7" t="s">
        <v>7</v>
      </c>
      <c r="C12" s="10">
        <v>60</v>
      </c>
      <c r="E12" s="26"/>
      <c r="G12" s="7" t="s">
        <v>7</v>
      </c>
      <c r="H12" s="10">
        <v>60</v>
      </c>
      <c r="J12" s="26"/>
    </row>
    <row r="13" spans="2:10" ht="15.75" thickBot="1" x14ac:dyDescent="0.3">
      <c r="B13" s="7" t="s">
        <v>40</v>
      </c>
      <c r="C13" s="11">
        <v>100</v>
      </c>
      <c r="E13" s="27"/>
      <c r="G13" s="7" t="s">
        <v>4</v>
      </c>
      <c r="H13" s="11">
        <v>30448.16</v>
      </c>
      <c r="J13" s="27"/>
    </row>
    <row r="15" spans="2:10" x14ac:dyDescent="0.25">
      <c r="B15" s="5" t="s">
        <v>2</v>
      </c>
      <c r="C15" s="28" t="s">
        <v>3</v>
      </c>
      <c r="D15" s="28"/>
      <c r="E15" s="50" t="s">
        <v>4</v>
      </c>
      <c r="G15" s="5" t="s">
        <v>4</v>
      </c>
      <c r="H15" s="28" t="s">
        <v>3</v>
      </c>
      <c r="I15" s="28"/>
      <c r="J15" s="52" t="s">
        <v>40</v>
      </c>
    </row>
    <row r="16" spans="2:10" ht="15.75" thickBot="1" x14ac:dyDescent="0.3"/>
    <row r="17" spans="2:10" ht="15.75" thickBot="1" x14ac:dyDescent="0.3">
      <c r="B17" s="7" t="s">
        <v>8</v>
      </c>
      <c r="C17" s="8">
        <v>0.1</v>
      </c>
      <c r="E17" s="25">
        <f>C19*(1+C17)^C18</f>
        <v>672.74999493256087</v>
      </c>
      <c r="G17" s="7" t="s">
        <v>8</v>
      </c>
      <c r="H17" s="8">
        <v>0.1</v>
      </c>
      <c r="J17" s="25">
        <f>H19*(1+H17)^-H18</f>
        <v>100.00000075324253</v>
      </c>
    </row>
    <row r="18" spans="2:10" ht="15.75" thickBot="1" x14ac:dyDescent="0.3">
      <c r="B18" s="7" t="s">
        <v>9</v>
      </c>
      <c r="C18" s="10">
        <v>20</v>
      </c>
      <c r="E18" s="26"/>
      <c r="G18" s="7" t="s">
        <v>9</v>
      </c>
      <c r="H18" s="10">
        <v>20</v>
      </c>
      <c r="J18" s="26"/>
    </row>
    <row r="19" spans="2:10" ht="15.75" thickBot="1" x14ac:dyDescent="0.3">
      <c r="B19" s="7" t="s">
        <v>40</v>
      </c>
      <c r="C19" s="11">
        <v>100</v>
      </c>
      <c r="E19" s="27"/>
      <c r="G19" s="7" t="s">
        <v>4</v>
      </c>
      <c r="H19" s="11">
        <v>672.75</v>
      </c>
      <c r="J19" s="27"/>
    </row>
    <row r="21" spans="2:10" x14ac:dyDescent="0.25">
      <c r="B21" s="5" t="s">
        <v>2</v>
      </c>
      <c r="C21" s="28" t="s">
        <v>3</v>
      </c>
      <c r="D21" s="28"/>
      <c r="E21" s="50" t="s">
        <v>4</v>
      </c>
      <c r="G21" s="5" t="s">
        <v>4</v>
      </c>
      <c r="H21" s="28" t="s">
        <v>3</v>
      </c>
      <c r="I21" s="28"/>
      <c r="J21" s="52" t="s">
        <v>40</v>
      </c>
    </row>
    <row r="22" spans="2:10" ht="15.75" thickBot="1" x14ac:dyDescent="0.3"/>
    <row r="23" spans="2:10" ht="15.75" thickBot="1" x14ac:dyDescent="0.3">
      <c r="B23" s="7" t="s">
        <v>8</v>
      </c>
      <c r="C23" s="8">
        <v>0.1</v>
      </c>
      <c r="E23" s="25">
        <f>C25*(1+C23)^C24</f>
        <v>259.37424601000021</v>
      </c>
      <c r="G23" s="7" t="s">
        <v>8</v>
      </c>
      <c r="H23" s="8">
        <v>0.1</v>
      </c>
      <c r="J23" s="25">
        <f>H25*(1+H23)^-H24</f>
        <v>99.998362979337585</v>
      </c>
    </row>
    <row r="24" spans="2:10" ht="15.75" thickBot="1" x14ac:dyDescent="0.3">
      <c r="B24" s="7" t="s">
        <v>10</v>
      </c>
      <c r="C24" s="10">
        <v>10</v>
      </c>
      <c r="E24" s="26"/>
      <c r="G24" s="7" t="s">
        <v>10</v>
      </c>
      <c r="H24" s="10">
        <v>10</v>
      </c>
      <c r="J24" s="26"/>
    </row>
    <row r="25" spans="2:10" ht="15.75" thickBot="1" x14ac:dyDescent="0.3">
      <c r="B25" s="7" t="s">
        <v>40</v>
      </c>
      <c r="C25" s="11">
        <v>100</v>
      </c>
      <c r="E25" s="27"/>
      <c r="G25" s="7" t="s">
        <v>4</v>
      </c>
      <c r="H25" s="11">
        <v>259.37</v>
      </c>
      <c r="J25" s="27"/>
    </row>
    <row r="27" spans="2:10" x14ac:dyDescent="0.25">
      <c r="B27" s="5" t="s">
        <v>2</v>
      </c>
      <c r="C27" s="28" t="s">
        <v>3</v>
      </c>
      <c r="D27" s="28"/>
      <c r="E27" s="50" t="s">
        <v>4</v>
      </c>
      <c r="G27" s="5" t="s">
        <v>4</v>
      </c>
      <c r="H27" s="28" t="s">
        <v>3</v>
      </c>
      <c r="I27" s="28"/>
      <c r="J27" s="52" t="s">
        <v>40</v>
      </c>
    </row>
    <row r="28" spans="2:10" ht="15.75" thickBot="1" x14ac:dyDescent="0.3"/>
    <row r="29" spans="2:10" ht="15.75" customHeight="1" thickBot="1" x14ac:dyDescent="0.3">
      <c r="B29" s="7" t="s">
        <v>33</v>
      </c>
      <c r="C29" s="8">
        <v>0.1</v>
      </c>
      <c r="E29" s="25">
        <f>C31*EXP(C29*C30)</f>
        <v>271.82818284590451</v>
      </c>
      <c r="G29" s="7" t="s">
        <v>33</v>
      </c>
      <c r="H29" s="8">
        <v>0.1</v>
      </c>
      <c r="J29" s="25">
        <f>H31*EXP(-H29*H30)</f>
        <v>100.00066849363317</v>
      </c>
    </row>
    <row r="30" spans="2:10" ht="15.75" customHeight="1" thickBot="1" x14ac:dyDescent="0.3">
      <c r="B30" s="7" t="s">
        <v>34</v>
      </c>
      <c r="C30" s="10">
        <v>10</v>
      </c>
      <c r="E30" s="26"/>
      <c r="G30" s="7" t="s">
        <v>10</v>
      </c>
      <c r="H30" s="10">
        <v>10</v>
      </c>
      <c r="J30" s="26"/>
    </row>
    <row r="31" spans="2:10" ht="15.75" customHeight="1" thickBot="1" x14ac:dyDescent="0.3">
      <c r="B31" s="7" t="s">
        <v>40</v>
      </c>
      <c r="C31" s="11">
        <v>100</v>
      </c>
      <c r="E31" s="27"/>
      <c r="G31" s="7" t="s">
        <v>4</v>
      </c>
      <c r="H31" s="11">
        <v>271.83</v>
      </c>
      <c r="J31" s="27"/>
    </row>
    <row r="33" spans="2:10" x14ac:dyDescent="0.25">
      <c r="B33" s="6"/>
      <c r="C33" s="28"/>
      <c r="D33" s="28"/>
      <c r="E33" s="51" t="s">
        <v>8</v>
      </c>
      <c r="G33" s="6"/>
      <c r="H33" s="28"/>
      <c r="I33" s="28"/>
      <c r="J33" s="56" t="s">
        <v>6</v>
      </c>
    </row>
    <row r="34" spans="2:10" ht="15.75" thickBot="1" x14ac:dyDescent="0.3"/>
    <row r="35" spans="2:10" ht="15.75" thickBot="1" x14ac:dyDescent="0.3">
      <c r="B35" s="7" t="s">
        <v>40</v>
      </c>
      <c r="C35" s="11">
        <v>100</v>
      </c>
      <c r="E35" s="53">
        <f>(C37/C35)^(1/C36)-1</f>
        <v>9.9998633969696549E-2</v>
      </c>
      <c r="G35" s="7" t="s">
        <v>5</v>
      </c>
      <c r="H35" s="8">
        <v>0.1</v>
      </c>
      <c r="J35" s="58">
        <f>LOG(H37/H36,1+H35)</f>
        <v>4.9999348523681215</v>
      </c>
    </row>
    <row r="36" spans="2:10" ht="15.75" thickBot="1" x14ac:dyDescent="0.3">
      <c r="B36" s="7" t="s">
        <v>6</v>
      </c>
      <c r="C36" s="10">
        <v>5</v>
      </c>
      <c r="E36" s="54"/>
      <c r="G36" s="7" t="s">
        <v>40</v>
      </c>
      <c r="H36" s="57">
        <v>100</v>
      </c>
      <c r="J36" s="59"/>
    </row>
    <row r="37" spans="2:10" ht="15.75" thickBot="1" x14ac:dyDescent="0.3">
      <c r="B37" s="7" t="s">
        <v>4</v>
      </c>
      <c r="C37" s="11">
        <v>161.05000000000001</v>
      </c>
      <c r="E37" s="55"/>
      <c r="G37" s="7" t="s">
        <v>4</v>
      </c>
      <c r="H37" s="11">
        <v>161.05000000000001</v>
      </c>
      <c r="J37" s="60"/>
    </row>
    <row r="39" spans="2:10" x14ac:dyDescent="0.25">
      <c r="B39" s="6"/>
      <c r="C39" s="28"/>
      <c r="D39" s="28"/>
      <c r="E39" s="51" t="s">
        <v>8</v>
      </c>
      <c r="G39" s="6"/>
      <c r="H39" s="28"/>
      <c r="I39" s="28"/>
      <c r="J39" s="56" t="s">
        <v>7</v>
      </c>
    </row>
    <row r="40" spans="2:10" ht="15.75" thickBot="1" x14ac:dyDescent="0.3"/>
    <row r="41" spans="2:10" ht="15.75" customHeight="1" thickBot="1" x14ac:dyDescent="0.3">
      <c r="B41" s="7" t="s">
        <v>40</v>
      </c>
      <c r="C41" s="11">
        <v>100</v>
      </c>
      <c r="E41" s="53">
        <f>(C43/C41)^(1/C42)-1</f>
        <v>9.9999997619147019E-2</v>
      </c>
      <c r="G41" s="7" t="s">
        <v>8</v>
      </c>
      <c r="H41" s="8">
        <v>0.1</v>
      </c>
      <c r="J41" s="58">
        <f>LOG(H43/H42,1+H41)</f>
        <v>59.99999863745176</v>
      </c>
    </row>
    <row r="42" spans="2:10" ht="15.75" customHeight="1" thickBot="1" x14ac:dyDescent="0.3">
      <c r="B42" s="7" t="s">
        <v>7</v>
      </c>
      <c r="C42" s="10">
        <v>60</v>
      </c>
      <c r="E42" s="54"/>
      <c r="G42" s="7" t="s">
        <v>40</v>
      </c>
      <c r="H42" s="57">
        <v>100</v>
      </c>
      <c r="J42" s="59"/>
    </row>
    <row r="43" spans="2:10" ht="15.75" customHeight="1" thickBot="1" x14ac:dyDescent="0.3">
      <c r="B43" s="7" t="s">
        <v>4</v>
      </c>
      <c r="C43" s="11">
        <v>30448.16</v>
      </c>
      <c r="E43" s="55"/>
      <c r="G43" s="7" t="s">
        <v>4</v>
      </c>
      <c r="H43" s="11">
        <v>30448.16</v>
      </c>
      <c r="J43" s="60"/>
    </row>
    <row r="45" spans="2:10" x14ac:dyDescent="0.25">
      <c r="B45" s="6"/>
      <c r="C45" s="28"/>
      <c r="D45" s="28"/>
      <c r="E45" s="51" t="s">
        <v>8</v>
      </c>
      <c r="G45" s="6"/>
      <c r="H45" s="28"/>
      <c r="I45" s="28"/>
      <c r="J45" s="56" t="s">
        <v>9</v>
      </c>
    </row>
    <row r="46" spans="2:10" ht="15.75" thickBot="1" x14ac:dyDescent="0.3"/>
    <row r="47" spans="2:10" ht="15.75" customHeight="1" thickBot="1" x14ac:dyDescent="0.3">
      <c r="B47" s="7" t="s">
        <v>40</v>
      </c>
      <c r="C47" s="11">
        <v>100</v>
      </c>
      <c r="E47" s="53">
        <f>(C49/C47)^(1/C48)-1</f>
        <v>0.10000000041428336</v>
      </c>
      <c r="G47" s="7" t="s">
        <v>8</v>
      </c>
      <c r="H47" s="8">
        <v>0.1</v>
      </c>
      <c r="J47" s="58">
        <f>LOG(H49/H48,1+H47)</f>
        <v>20.000000079030645</v>
      </c>
    </row>
    <row r="48" spans="2:10" ht="15.75" customHeight="1" thickBot="1" x14ac:dyDescent="0.3">
      <c r="B48" s="7" t="s">
        <v>9</v>
      </c>
      <c r="C48" s="10">
        <v>20</v>
      </c>
      <c r="E48" s="54"/>
      <c r="G48" s="7" t="s">
        <v>40</v>
      </c>
      <c r="H48" s="57">
        <v>100</v>
      </c>
      <c r="J48" s="59"/>
    </row>
    <row r="49" spans="2:10" ht="15.75" customHeight="1" thickBot="1" x14ac:dyDescent="0.3">
      <c r="B49" s="7" t="s">
        <v>4</v>
      </c>
      <c r="C49" s="11">
        <v>672.75</v>
      </c>
      <c r="E49" s="55"/>
      <c r="G49" s="7" t="s">
        <v>4</v>
      </c>
      <c r="H49" s="11">
        <v>672.75</v>
      </c>
      <c r="J49" s="60"/>
    </row>
    <row r="51" spans="2:10" x14ac:dyDescent="0.25">
      <c r="B51" s="6"/>
      <c r="C51" s="28"/>
      <c r="D51" s="28"/>
      <c r="E51" s="51" t="s">
        <v>8</v>
      </c>
      <c r="G51" s="6"/>
      <c r="H51" s="28"/>
      <c r="I51" s="28"/>
      <c r="J51" s="56" t="s">
        <v>10</v>
      </c>
    </row>
    <row r="52" spans="2:10" ht="15.75" thickBot="1" x14ac:dyDescent="0.3"/>
    <row r="53" spans="2:10" ht="15.75" customHeight="1" thickBot="1" x14ac:dyDescent="0.3">
      <c r="B53" s="7" t="s">
        <v>40</v>
      </c>
      <c r="C53" s="11">
        <v>100</v>
      </c>
      <c r="E53" s="53">
        <f>(C55/C53)^(1/C54)-1</f>
        <v>9.9998199264005994E-2</v>
      </c>
      <c r="G53" s="7" t="s">
        <v>8</v>
      </c>
      <c r="H53" s="8">
        <v>0.1</v>
      </c>
      <c r="J53" s="58">
        <f>LOG(H55/H54,1+H53)</f>
        <v>9.9998282414255097</v>
      </c>
    </row>
    <row r="54" spans="2:10" ht="15.75" customHeight="1" thickBot="1" x14ac:dyDescent="0.3">
      <c r="B54" s="7" t="s">
        <v>10</v>
      </c>
      <c r="C54" s="10">
        <v>10</v>
      </c>
      <c r="E54" s="54"/>
      <c r="G54" s="7" t="s">
        <v>40</v>
      </c>
      <c r="H54" s="57">
        <v>100</v>
      </c>
      <c r="J54" s="59"/>
    </row>
    <row r="55" spans="2:10" ht="15.75" customHeight="1" thickBot="1" x14ac:dyDescent="0.3">
      <c r="B55" s="7" t="s">
        <v>4</v>
      </c>
      <c r="C55" s="11">
        <v>259.37</v>
      </c>
      <c r="E55" s="55"/>
      <c r="G55" s="7" t="s">
        <v>4</v>
      </c>
      <c r="H55" s="11">
        <v>259.37</v>
      </c>
      <c r="J55" s="60"/>
    </row>
    <row r="57" spans="2:10" x14ac:dyDescent="0.25">
      <c r="B57" s="6"/>
      <c r="C57" s="28"/>
      <c r="D57" s="28"/>
      <c r="E57" s="51" t="s">
        <v>54</v>
      </c>
      <c r="G57" s="6"/>
      <c r="H57" s="28"/>
      <c r="I57" s="28"/>
      <c r="J57" s="56" t="s">
        <v>10</v>
      </c>
    </row>
    <row r="58" spans="2:10" ht="15.75" thickBot="1" x14ac:dyDescent="0.3"/>
    <row r="59" spans="2:10" ht="15.75" customHeight="1" thickBot="1" x14ac:dyDescent="0.3">
      <c r="B59" s="7" t="s">
        <v>40</v>
      </c>
      <c r="C59" s="11">
        <v>100</v>
      </c>
      <c r="E59" s="53">
        <f>(LN(C61/C59))/(C60)</f>
        <v>0.10000066849139874</v>
      </c>
      <c r="G59" s="7" t="s">
        <v>33</v>
      </c>
      <c r="H59" s="8">
        <v>0.1</v>
      </c>
      <c r="J59" s="58">
        <f>(LN(H61/H60))/H59</f>
        <v>10.000066849139873</v>
      </c>
    </row>
    <row r="60" spans="2:10" ht="15.75" customHeight="1" thickBot="1" x14ac:dyDescent="0.3">
      <c r="B60" s="7" t="s">
        <v>34</v>
      </c>
      <c r="C60" s="10">
        <v>10</v>
      </c>
      <c r="E60" s="54"/>
      <c r="G60" s="7" t="s">
        <v>40</v>
      </c>
      <c r="H60" s="57">
        <v>100</v>
      </c>
      <c r="J60" s="59"/>
    </row>
    <row r="61" spans="2:10" ht="15.75" customHeight="1" thickBot="1" x14ac:dyDescent="0.3">
      <c r="B61" s="7" t="s">
        <v>4</v>
      </c>
      <c r="C61" s="11">
        <v>271.83</v>
      </c>
      <c r="E61" s="55"/>
      <c r="G61" s="7" t="s">
        <v>4</v>
      </c>
      <c r="H61" s="11">
        <v>271.83</v>
      </c>
      <c r="J61" s="60"/>
    </row>
  </sheetData>
  <mergeCells count="40">
    <mergeCell ref="E59:E61"/>
    <mergeCell ref="J59:J61"/>
    <mergeCell ref="C51:D51"/>
    <mergeCell ref="H51:I51"/>
    <mergeCell ref="E53:E55"/>
    <mergeCell ref="J53:J55"/>
    <mergeCell ref="C57:D57"/>
    <mergeCell ref="H57:I57"/>
    <mergeCell ref="H33:I33"/>
    <mergeCell ref="H39:I39"/>
    <mergeCell ref="J41:J43"/>
    <mergeCell ref="H45:I45"/>
    <mergeCell ref="J47:J49"/>
    <mergeCell ref="C33:D33"/>
    <mergeCell ref="E35:E37"/>
    <mergeCell ref="C3:D3"/>
    <mergeCell ref="E5:E7"/>
    <mergeCell ref="C9:D9"/>
    <mergeCell ref="E11:E13"/>
    <mergeCell ref="C15:D15"/>
    <mergeCell ref="E17:E19"/>
    <mergeCell ref="J17:J19"/>
    <mergeCell ref="C21:D21"/>
    <mergeCell ref="E23:E25"/>
    <mergeCell ref="H3:I3"/>
    <mergeCell ref="J5:J7"/>
    <mergeCell ref="H9:I9"/>
    <mergeCell ref="J11:J13"/>
    <mergeCell ref="H15:I15"/>
    <mergeCell ref="J35:J37"/>
    <mergeCell ref="C39:D39"/>
    <mergeCell ref="E41:E43"/>
    <mergeCell ref="C45:D45"/>
    <mergeCell ref="E47:E49"/>
    <mergeCell ref="H21:I21"/>
    <mergeCell ref="J23:J25"/>
    <mergeCell ref="E29:E31"/>
    <mergeCell ref="J29:J31"/>
    <mergeCell ref="C27:D27"/>
    <mergeCell ref="H27:I2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H78"/>
  <sheetViews>
    <sheetView workbookViewId="0">
      <selection activeCell="F76" sqref="F76"/>
    </sheetView>
  </sheetViews>
  <sheetFormatPr defaultRowHeight="15" x14ac:dyDescent="0.25"/>
  <cols>
    <col min="2" max="2" width="34.140625" bestFit="1" customWidth="1"/>
    <col min="3" max="3" width="16" customWidth="1"/>
    <col min="5" max="5" width="32.42578125" bestFit="1" customWidth="1"/>
  </cols>
  <sheetData>
    <row r="1" spans="2:8" ht="18.75" x14ac:dyDescent="0.3">
      <c r="B1" s="1" t="s">
        <v>0</v>
      </c>
      <c r="C1" s="2"/>
      <c r="D1" s="2"/>
      <c r="E1" s="1" t="s">
        <v>1</v>
      </c>
    </row>
    <row r="3" spans="2:8" x14ac:dyDescent="0.25">
      <c r="B3" s="7" t="s">
        <v>35</v>
      </c>
    </row>
    <row r="4" spans="2:8" ht="15.75" thickBot="1" x14ac:dyDescent="0.3"/>
    <row r="5" spans="2:8" ht="16.5" thickBot="1" x14ac:dyDescent="0.3">
      <c r="B5" s="18" t="s">
        <v>36</v>
      </c>
      <c r="C5" s="19">
        <v>4000</v>
      </c>
      <c r="E5" s="39" t="s">
        <v>4</v>
      </c>
      <c r="F5" s="29">
        <f>(C5)*(((1+C6)^(C7)-1)/C6)</f>
        <v>28613.162962800001</v>
      </c>
      <c r="G5" s="30"/>
      <c r="H5" s="31"/>
    </row>
    <row r="6" spans="2:8" ht="15.75" thickBot="1" x14ac:dyDescent="0.3">
      <c r="B6" s="18" t="s">
        <v>8</v>
      </c>
      <c r="C6" s="15">
        <v>7.0000000000000007E-2</v>
      </c>
      <c r="E6" s="3"/>
    </row>
    <row r="7" spans="2:8" ht="16.5" thickBot="1" x14ac:dyDescent="0.3">
      <c r="B7" s="18" t="s">
        <v>22</v>
      </c>
      <c r="C7" s="18">
        <v>6</v>
      </c>
      <c r="E7" s="42" t="s">
        <v>2</v>
      </c>
      <c r="F7" s="29">
        <f>F5*(1+C6)^(-C7)</f>
        <v>19066.158639056426</v>
      </c>
      <c r="G7" s="30"/>
      <c r="H7" s="31"/>
    </row>
    <row r="9" spans="2:8" x14ac:dyDescent="0.25">
      <c r="B9" s="7" t="s">
        <v>38</v>
      </c>
    </row>
    <row r="10" spans="2:8" ht="15.75" thickBot="1" x14ac:dyDescent="0.3"/>
    <row r="11" spans="2:8" ht="16.5" thickBot="1" x14ac:dyDescent="0.3">
      <c r="B11" s="18" t="s">
        <v>36</v>
      </c>
      <c r="C11" s="19">
        <v>4000</v>
      </c>
      <c r="E11" s="39" t="s">
        <v>4</v>
      </c>
      <c r="F11" s="29">
        <f>(C11)*(1+C12)*(((1+C12)^(C13)-1)/C12)</f>
        <v>30616.084370196</v>
      </c>
      <c r="G11" s="30"/>
      <c r="H11" s="31"/>
    </row>
    <row r="12" spans="2:8" ht="15.75" thickBot="1" x14ac:dyDescent="0.3">
      <c r="B12" s="18" t="s">
        <v>8</v>
      </c>
      <c r="C12" s="15">
        <v>7.0000000000000007E-2</v>
      </c>
      <c r="E12" s="3"/>
    </row>
    <row r="13" spans="2:8" ht="16.5" thickBot="1" x14ac:dyDescent="0.3">
      <c r="B13" s="18" t="s">
        <v>22</v>
      </c>
      <c r="C13" s="18">
        <v>6</v>
      </c>
      <c r="E13" s="42" t="s">
        <v>2</v>
      </c>
      <c r="F13" s="29">
        <f>F11*(1+C12)^-C13</f>
        <v>20400.789743790374</v>
      </c>
      <c r="G13" s="30"/>
      <c r="H13" s="31"/>
    </row>
    <row r="14" spans="2:8" x14ac:dyDescent="0.25">
      <c r="E14" s="3"/>
    </row>
    <row r="15" spans="2:8" x14ac:dyDescent="0.25">
      <c r="B15" s="7" t="s">
        <v>39</v>
      </c>
      <c r="E15" s="3"/>
    </row>
    <row r="16" spans="2:8" ht="15.75" thickBot="1" x14ac:dyDescent="0.3">
      <c r="E16" s="3"/>
    </row>
    <row r="17" spans="2:8" ht="16.5" thickBot="1" x14ac:dyDescent="0.3">
      <c r="B17" s="18" t="s">
        <v>36</v>
      </c>
      <c r="C17" s="19">
        <v>4000</v>
      </c>
      <c r="E17" s="39" t="s">
        <v>4</v>
      </c>
      <c r="F17" s="29">
        <f>(C17)*(((1+C18)^(C19+1)-1)/C18)</f>
        <v>34616.084370196004</v>
      </c>
      <c r="G17" s="30"/>
      <c r="H17" s="31"/>
    </row>
    <row r="18" spans="2:8" ht="15.75" thickBot="1" x14ac:dyDescent="0.3">
      <c r="B18" s="18" t="s">
        <v>8</v>
      </c>
      <c r="C18" s="15">
        <v>7.0000000000000007E-2</v>
      </c>
      <c r="E18" s="3"/>
    </row>
    <row r="19" spans="2:8" ht="16.5" thickBot="1" x14ac:dyDescent="0.3">
      <c r="B19" s="18" t="s">
        <v>22</v>
      </c>
      <c r="C19" s="18">
        <v>6</v>
      </c>
      <c r="E19" s="42" t="s">
        <v>2</v>
      </c>
      <c r="F19" s="29">
        <f>F17*(1+C18)^-C19</f>
        <v>23066.158639056426</v>
      </c>
      <c r="G19" s="30"/>
      <c r="H19" s="31"/>
    </row>
    <row r="20" spans="2:8" x14ac:dyDescent="0.25">
      <c r="E20" s="3"/>
    </row>
    <row r="21" spans="2:8" x14ac:dyDescent="0.25">
      <c r="B21" s="7" t="s">
        <v>35</v>
      </c>
      <c r="E21" s="3"/>
    </row>
    <row r="22" spans="2:8" ht="15.75" thickBot="1" x14ac:dyDescent="0.3">
      <c r="E22" s="3"/>
    </row>
    <row r="23" spans="2:8" ht="16.5" thickBot="1" x14ac:dyDescent="0.3">
      <c r="B23" s="18" t="s">
        <v>37</v>
      </c>
      <c r="C23" s="19">
        <v>28613.16</v>
      </c>
      <c r="E23" s="43" t="s">
        <v>21</v>
      </c>
      <c r="F23" s="29">
        <f>(C23)*(((1+C24)^(C25)-1)/C24)^-1</f>
        <v>3999.9995858130046</v>
      </c>
      <c r="G23" s="30"/>
      <c r="H23" s="31"/>
    </row>
    <row r="24" spans="2:8" x14ac:dyDescent="0.25">
      <c r="B24" s="18" t="s">
        <v>8</v>
      </c>
      <c r="C24" s="15">
        <v>7.0000000000000007E-2</v>
      </c>
      <c r="E24" s="3"/>
    </row>
    <row r="25" spans="2:8" ht="15.75" x14ac:dyDescent="0.25">
      <c r="B25" s="18" t="s">
        <v>22</v>
      </c>
      <c r="C25" s="18">
        <v>6</v>
      </c>
      <c r="E25" s="21"/>
      <c r="F25" s="35"/>
      <c r="G25" s="35"/>
      <c r="H25" s="35"/>
    </row>
    <row r="26" spans="2:8" x14ac:dyDescent="0.25">
      <c r="E26" s="3"/>
    </row>
    <row r="27" spans="2:8" x14ac:dyDescent="0.25">
      <c r="B27" s="7" t="s">
        <v>38</v>
      </c>
      <c r="E27" s="3"/>
    </row>
    <row r="28" spans="2:8" ht="15.75" thickBot="1" x14ac:dyDescent="0.3">
      <c r="E28" s="3"/>
    </row>
    <row r="29" spans="2:8" ht="16.5" thickBot="1" x14ac:dyDescent="0.3">
      <c r="B29" s="18" t="s">
        <v>37</v>
      </c>
      <c r="C29" s="19">
        <v>30616.080000000002</v>
      </c>
      <c r="E29" s="43" t="s">
        <v>21</v>
      </c>
      <c r="F29" s="29">
        <f>(C29)*(1+C30)^(-1)*(((1+C30)^(C31)-1)/C30)^(-1)</f>
        <v>3999.9994290326686</v>
      </c>
      <c r="G29" s="30"/>
      <c r="H29" s="31"/>
    </row>
    <row r="30" spans="2:8" x14ac:dyDescent="0.25">
      <c r="B30" s="18" t="s">
        <v>8</v>
      </c>
      <c r="C30" s="15">
        <v>7.0000000000000007E-2</v>
      </c>
      <c r="E30" s="3"/>
    </row>
    <row r="31" spans="2:8" ht="15.75" x14ac:dyDescent="0.25">
      <c r="B31" s="18" t="s">
        <v>22</v>
      </c>
      <c r="C31" s="18">
        <v>6</v>
      </c>
      <c r="E31" s="21"/>
      <c r="F31" s="35"/>
      <c r="G31" s="35"/>
      <c r="H31" s="35"/>
    </row>
    <row r="33" spans="2:8" x14ac:dyDescent="0.25">
      <c r="B33" s="7" t="s">
        <v>39</v>
      </c>
    </row>
    <row r="34" spans="2:8" ht="15.75" thickBot="1" x14ac:dyDescent="0.3"/>
    <row r="35" spans="2:8" ht="16.5" thickBot="1" x14ac:dyDescent="0.3">
      <c r="B35" s="18" t="s">
        <v>37</v>
      </c>
      <c r="C35" s="19">
        <v>34616.080000000002</v>
      </c>
      <c r="E35" s="43" t="s">
        <v>21</v>
      </c>
      <c r="F35" s="29">
        <f>(C35)*(((1+C36)^(C37+1)-1)/C36)^-1</f>
        <v>3999.9994950097812</v>
      </c>
      <c r="G35" s="30"/>
      <c r="H35" s="31"/>
    </row>
    <row r="36" spans="2:8" x14ac:dyDescent="0.25">
      <c r="B36" s="18" t="s">
        <v>8</v>
      </c>
      <c r="C36" s="15">
        <v>7.0000000000000007E-2</v>
      </c>
    </row>
    <row r="37" spans="2:8" ht="15.75" x14ac:dyDescent="0.25">
      <c r="B37" s="18" t="s">
        <v>22</v>
      </c>
      <c r="C37" s="18">
        <v>6</v>
      </c>
      <c r="E37" s="14"/>
      <c r="F37" s="35"/>
      <c r="G37" s="35"/>
      <c r="H37" s="35"/>
    </row>
    <row r="39" spans="2:8" x14ac:dyDescent="0.25">
      <c r="B39" s="7" t="s">
        <v>35</v>
      </c>
      <c r="E39" s="3"/>
    </row>
    <row r="40" spans="2:8" ht="15.75" thickBot="1" x14ac:dyDescent="0.3">
      <c r="E40" s="3"/>
    </row>
    <row r="41" spans="2:8" ht="16.5" thickBot="1" x14ac:dyDescent="0.3">
      <c r="B41" s="18" t="s">
        <v>37</v>
      </c>
      <c r="C41" s="19">
        <v>28613.16</v>
      </c>
      <c r="E41" s="41" t="s">
        <v>22</v>
      </c>
      <c r="F41" s="32">
        <f>LOG((C41*C42)/C43+1,1+C42)</f>
        <v>5.9999994893604933</v>
      </c>
      <c r="G41" s="33"/>
      <c r="H41" s="34"/>
    </row>
    <row r="42" spans="2:8" x14ac:dyDescent="0.25">
      <c r="B42" s="18" t="s">
        <v>8</v>
      </c>
      <c r="C42" s="15">
        <v>7.0000000000000007E-2</v>
      </c>
      <c r="E42" s="3"/>
    </row>
    <row r="43" spans="2:8" ht="15.75" x14ac:dyDescent="0.25">
      <c r="B43" s="18" t="s">
        <v>21</v>
      </c>
      <c r="C43" s="18">
        <v>4000</v>
      </c>
      <c r="E43" s="21"/>
      <c r="F43" s="35"/>
      <c r="G43" s="35"/>
      <c r="H43" s="35"/>
    </row>
    <row r="44" spans="2:8" x14ac:dyDescent="0.25">
      <c r="E44" s="3"/>
    </row>
    <row r="45" spans="2:8" x14ac:dyDescent="0.25">
      <c r="B45" s="7" t="s">
        <v>38</v>
      </c>
      <c r="E45" s="3"/>
    </row>
    <row r="46" spans="2:8" ht="15.75" thickBot="1" x14ac:dyDescent="0.3">
      <c r="E46" s="3"/>
    </row>
    <row r="47" spans="2:8" ht="16.5" thickBot="1" x14ac:dyDescent="0.3">
      <c r="B47" s="18" t="s">
        <v>37</v>
      </c>
      <c r="C47" s="19">
        <v>23233.91</v>
      </c>
      <c r="E47" s="41" t="s">
        <v>22</v>
      </c>
      <c r="F47" s="32">
        <f>LOG((C47*C48)/(C49*(1+C48))+1,1+C48)</f>
        <v>120.00000712970802</v>
      </c>
      <c r="G47" s="33"/>
      <c r="H47" s="34"/>
    </row>
    <row r="48" spans="2:8" x14ac:dyDescent="0.25">
      <c r="B48" s="18" t="s">
        <v>8</v>
      </c>
      <c r="C48" s="15">
        <v>0.01</v>
      </c>
      <c r="E48" s="3"/>
    </row>
    <row r="49" spans="2:8" ht="15.75" x14ac:dyDescent="0.25">
      <c r="B49" s="18" t="s">
        <v>21</v>
      </c>
      <c r="C49" s="18">
        <v>100</v>
      </c>
      <c r="E49" s="21"/>
      <c r="F49" s="35"/>
      <c r="G49" s="35"/>
      <c r="H49" s="35"/>
    </row>
    <row r="51" spans="2:8" x14ac:dyDescent="0.25">
      <c r="B51" s="7" t="s">
        <v>39</v>
      </c>
    </row>
    <row r="52" spans="2:8" ht="15.75" thickBot="1" x14ac:dyDescent="0.3"/>
    <row r="53" spans="2:8" ht="16.5" thickBot="1" x14ac:dyDescent="0.3">
      <c r="B53" s="18" t="s">
        <v>37</v>
      </c>
      <c r="C53" s="19">
        <v>34616.080000000002</v>
      </c>
      <c r="E53" s="41" t="s">
        <v>22</v>
      </c>
      <c r="F53" s="32">
        <f>LOG((C53*C54)/C55+1,1+C54)-1</f>
        <v>5.9999992960704196</v>
      </c>
      <c r="G53" s="33"/>
      <c r="H53" s="34"/>
    </row>
    <row r="54" spans="2:8" x14ac:dyDescent="0.25">
      <c r="B54" s="18" t="s">
        <v>8</v>
      </c>
      <c r="C54" s="15">
        <v>7.0000000000000007E-2</v>
      </c>
    </row>
    <row r="55" spans="2:8" ht="15.75" x14ac:dyDescent="0.25">
      <c r="B55" s="18" t="s">
        <v>21</v>
      </c>
      <c r="C55" s="18">
        <v>4000</v>
      </c>
      <c r="E55" s="14"/>
      <c r="F55" s="35"/>
      <c r="G55" s="35"/>
      <c r="H55" s="35"/>
    </row>
    <row r="57" spans="2:8" x14ac:dyDescent="0.25">
      <c r="B57" s="7" t="s">
        <v>45</v>
      </c>
    </row>
    <row r="58" spans="2:8" ht="15.75" thickBot="1" x14ac:dyDescent="0.3"/>
    <row r="59" spans="2:8" ht="16.5" thickBot="1" x14ac:dyDescent="0.3">
      <c r="B59" s="18" t="s">
        <v>47</v>
      </c>
      <c r="C59" s="19">
        <v>100</v>
      </c>
      <c r="E59" s="39" t="s">
        <v>4</v>
      </c>
      <c r="F59" s="29">
        <f>C60*(((EXP(C61*C62))-1)/C61)</f>
        <v>3884.0218254787933</v>
      </c>
      <c r="G59" s="30"/>
      <c r="H59" s="31"/>
    </row>
    <row r="60" spans="2:8" ht="15.75" x14ac:dyDescent="0.25">
      <c r="B60" s="18" t="s">
        <v>46</v>
      </c>
      <c r="C60" s="19">
        <f>C59*12</f>
        <v>1200</v>
      </c>
      <c r="E60" s="3"/>
      <c r="F60" s="22"/>
      <c r="G60" s="22"/>
      <c r="H60" s="22"/>
    </row>
    <row r="61" spans="2:8" ht="15.75" thickBot="1" x14ac:dyDescent="0.3">
      <c r="B61" s="18" t="s">
        <v>45</v>
      </c>
      <c r="C61" s="15">
        <v>0.05</v>
      </c>
      <c r="E61" s="3"/>
    </row>
    <row r="62" spans="2:8" ht="16.5" thickBot="1" x14ac:dyDescent="0.3">
      <c r="B62" s="18" t="s">
        <v>48</v>
      </c>
      <c r="C62" s="18">
        <v>3</v>
      </c>
      <c r="E62" s="42" t="s">
        <v>2</v>
      </c>
      <c r="F62" s="29">
        <f>F59*EXP(-C61*C62)</f>
        <v>3343.008565798611</v>
      </c>
      <c r="G62" s="30"/>
      <c r="H62" s="31"/>
    </row>
    <row r="65" spans="2:8" x14ac:dyDescent="0.25">
      <c r="B65" s="7" t="s">
        <v>45</v>
      </c>
    </row>
    <row r="66" spans="2:8" ht="15.75" thickBot="1" x14ac:dyDescent="0.3"/>
    <row r="67" spans="2:8" ht="16.5" thickBot="1" x14ac:dyDescent="0.3">
      <c r="B67" s="18" t="s">
        <v>47</v>
      </c>
      <c r="C67" s="19">
        <v>100</v>
      </c>
      <c r="E67" s="46" t="s">
        <v>51</v>
      </c>
      <c r="F67" s="29">
        <f>(C68*C69)/(EXP(C69*C70)-1)</f>
        <v>1199.9994360035421</v>
      </c>
      <c r="G67" s="30"/>
      <c r="H67" s="31"/>
    </row>
    <row r="68" spans="2:8" ht="15.75" x14ac:dyDescent="0.25">
      <c r="B68" s="18" t="s">
        <v>4</v>
      </c>
      <c r="C68" s="19">
        <v>3884.02</v>
      </c>
      <c r="E68" s="3"/>
      <c r="F68" s="22"/>
      <c r="G68" s="22"/>
      <c r="H68" s="22"/>
    </row>
    <row r="69" spans="2:8" x14ac:dyDescent="0.25">
      <c r="B69" s="18" t="s">
        <v>45</v>
      </c>
      <c r="C69" s="15">
        <v>0.05</v>
      </c>
      <c r="E69" s="3"/>
    </row>
    <row r="70" spans="2:8" ht="15.75" x14ac:dyDescent="0.25">
      <c r="B70" s="18" t="s">
        <v>48</v>
      </c>
      <c r="C70" s="18">
        <v>3</v>
      </c>
      <c r="E70" s="44"/>
      <c r="F70" s="45"/>
      <c r="G70" s="45"/>
      <c r="H70" s="45"/>
    </row>
    <row r="73" spans="2:8" x14ac:dyDescent="0.25">
      <c r="B73" s="7" t="s">
        <v>45</v>
      </c>
    </row>
    <row r="74" spans="2:8" ht="15.75" thickBot="1" x14ac:dyDescent="0.3"/>
    <row r="75" spans="2:8" ht="16.5" thickBot="1" x14ac:dyDescent="0.3">
      <c r="B75" s="18" t="s">
        <v>47</v>
      </c>
      <c r="C75" s="19">
        <v>100</v>
      </c>
      <c r="E75" s="41" t="s">
        <v>52</v>
      </c>
      <c r="F75" s="47">
        <f>(LN((C76*C77)/(C78)+1))/(C77)</f>
        <v>2.9999986906631584</v>
      </c>
      <c r="G75" s="48"/>
      <c r="H75" s="49"/>
    </row>
    <row r="76" spans="2:8" ht="15.75" x14ac:dyDescent="0.25">
      <c r="B76" s="18" t="s">
        <v>4</v>
      </c>
      <c r="C76" s="19">
        <v>3884.02</v>
      </c>
      <c r="E76" s="3"/>
      <c r="F76" s="22"/>
      <c r="G76" s="22"/>
      <c r="H76" s="22"/>
    </row>
    <row r="77" spans="2:8" x14ac:dyDescent="0.25">
      <c r="B77" s="18" t="s">
        <v>45</v>
      </c>
      <c r="C77" s="15">
        <v>0.05</v>
      </c>
      <c r="E77" s="3"/>
    </row>
    <row r="78" spans="2:8" ht="15.75" x14ac:dyDescent="0.25">
      <c r="B78" s="18" t="s">
        <v>53</v>
      </c>
      <c r="C78" s="19">
        <v>1200</v>
      </c>
      <c r="E78" s="44"/>
      <c r="F78" s="45"/>
      <c r="G78" s="45"/>
      <c r="H78" s="45"/>
    </row>
  </sheetData>
  <mergeCells count="24">
    <mergeCell ref="F67:H67"/>
    <mergeCell ref="F70:H70"/>
    <mergeCell ref="F75:H75"/>
    <mergeCell ref="F78:H78"/>
    <mergeCell ref="F37:H37"/>
    <mergeCell ref="F5:H5"/>
    <mergeCell ref="F7:H7"/>
    <mergeCell ref="F11:H11"/>
    <mergeCell ref="F13:H13"/>
    <mergeCell ref="F17:H17"/>
    <mergeCell ref="F19:H19"/>
    <mergeCell ref="F23:H23"/>
    <mergeCell ref="F25:H25"/>
    <mergeCell ref="F29:H29"/>
    <mergeCell ref="F31:H31"/>
    <mergeCell ref="F35:H35"/>
    <mergeCell ref="F59:H59"/>
    <mergeCell ref="F62:H62"/>
    <mergeCell ref="F41:H41"/>
    <mergeCell ref="F43:H43"/>
    <mergeCell ref="F47:H47"/>
    <mergeCell ref="F49:H49"/>
    <mergeCell ref="F53:H53"/>
    <mergeCell ref="F55:H5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P85"/>
  <sheetViews>
    <sheetView workbookViewId="0">
      <selection activeCell="N84" sqref="N84"/>
    </sheetView>
  </sheetViews>
  <sheetFormatPr defaultRowHeight="15" x14ac:dyDescent="0.25"/>
  <cols>
    <col min="2" max="2" width="34.140625" bestFit="1" customWidth="1"/>
    <col min="3" max="3" width="12.5703125" bestFit="1" customWidth="1"/>
    <col min="5" max="5" width="27.28515625" customWidth="1"/>
    <col min="6" max="6" width="7.5703125" customWidth="1"/>
    <col min="8" max="8" width="5" customWidth="1"/>
    <col min="10" max="10" width="34.28515625" bestFit="1" customWidth="1"/>
    <col min="11" max="11" width="12.5703125" bestFit="1" customWidth="1"/>
    <col min="13" max="13" width="22.28515625" bestFit="1" customWidth="1"/>
  </cols>
  <sheetData>
    <row r="1" spans="2:16" ht="18.75" x14ac:dyDescent="0.3">
      <c r="B1" s="1" t="s">
        <v>0</v>
      </c>
      <c r="C1" s="2"/>
      <c r="D1" s="2"/>
      <c r="E1" s="1" t="s">
        <v>1</v>
      </c>
    </row>
    <row r="3" spans="2:16" x14ac:dyDescent="0.25">
      <c r="B3" s="7" t="s">
        <v>42</v>
      </c>
      <c r="J3" s="7" t="s">
        <v>56</v>
      </c>
    </row>
    <row r="4" spans="2:16" x14ac:dyDescent="0.25">
      <c r="B4" s="7"/>
      <c r="J4" s="7"/>
    </row>
    <row r="5" spans="2:16" ht="15.75" thickBot="1" x14ac:dyDescent="0.3">
      <c r="B5" s="18" t="s">
        <v>40</v>
      </c>
      <c r="C5" s="23">
        <v>500</v>
      </c>
      <c r="J5" s="18" t="s">
        <v>40</v>
      </c>
      <c r="K5" s="23">
        <v>100000</v>
      </c>
    </row>
    <row r="6" spans="2:16" ht="16.5" thickBot="1" x14ac:dyDescent="0.3">
      <c r="B6" s="18" t="s">
        <v>41</v>
      </c>
      <c r="C6" s="19">
        <v>50</v>
      </c>
      <c r="E6" s="39" t="s">
        <v>4</v>
      </c>
      <c r="F6" s="29">
        <f>C5*(1+C7)^C8+C6*((1+C7)^(C8)-1)/C7</f>
        <v>10876.589717722078</v>
      </c>
      <c r="G6" s="30"/>
      <c r="H6" s="31"/>
      <c r="J6" s="18" t="s">
        <v>57</v>
      </c>
      <c r="K6" s="19">
        <v>500</v>
      </c>
      <c r="M6" s="39" t="s">
        <v>4</v>
      </c>
      <c r="N6" s="29">
        <f>K5*(1+K7)^K8-K6*((1+K7)^(K8)-1)/K7</f>
        <v>157164.48502033163</v>
      </c>
      <c r="O6" s="30"/>
      <c r="P6" s="31"/>
    </row>
    <row r="7" spans="2:16" ht="15.75" thickBot="1" x14ac:dyDescent="0.3">
      <c r="B7" s="18" t="s">
        <v>8</v>
      </c>
      <c r="C7" s="15">
        <v>7.9741399999999994E-3</v>
      </c>
      <c r="E7" s="3"/>
      <c r="J7" s="18" t="s">
        <v>8</v>
      </c>
      <c r="K7" s="15">
        <v>7.9741399999999994E-3</v>
      </c>
      <c r="M7" s="3"/>
    </row>
    <row r="8" spans="2:16" ht="16.5" thickBot="1" x14ac:dyDescent="0.3">
      <c r="B8" s="18" t="s">
        <v>22</v>
      </c>
      <c r="C8" s="18">
        <v>117</v>
      </c>
      <c r="E8" s="42" t="s">
        <v>2</v>
      </c>
      <c r="F8" s="29">
        <f>F6*(1+C7)^-C8</f>
        <v>4294.5146429806073</v>
      </c>
      <c r="G8" s="30"/>
      <c r="H8" s="31"/>
      <c r="J8" s="18" t="s">
        <v>22</v>
      </c>
      <c r="K8" s="18">
        <v>117</v>
      </c>
      <c r="M8" s="42" t="s">
        <v>2</v>
      </c>
      <c r="N8" s="29">
        <f>N6*(1+K7)^-K8</f>
        <v>62054.853570193933</v>
      </c>
      <c r="O8" s="30"/>
      <c r="P8" s="31"/>
    </row>
    <row r="10" spans="2:16" x14ac:dyDescent="0.25">
      <c r="B10" s="7" t="s">
        <v>43</v>
      </c>
      <c r="J10" s="7" t="s">
        <v>58</v>
      </c>
    </row>
    <row r="11" spans="2:16" x14ac:dyDescent="0.25">
      <c r="B11" s="7"/>
      <c r="J11" s="7"/>
    </row>
    <row r="12" spans="2:16" ht="15.75" thickBot="1" x14ac:dyDescent="0.3">
      <c r="B12" s="18" t="s">
        <v>40</v>
      </c>
      <c r="C12" s="19">
        <v>500</v>
      </c>
      <c r="J12" s="18" t="s">
        <v>40</v>
      </c>
      <c r="K12" s="19">
        <v>100000</v>
      </c>
    </row>
    <row r="13" spans="2:16" ht="16.5" thickBot="1" x14ac:dyDescent="0.3">
      <c r="B13" s="18" t="s">
        <v>41</v>
      </c>
      <c r="C13" s="19">
        <v>50</v>
      </c>
      <c r="E13" s="39" t="s">
        <v>4</v>
      </c>
      <c r="F13" s="61">
        <f>C12*(1+C14)^C15+C13*(1+C14)*((1+C14)^(C15)-1)/C14</f>
        <v>10953.223233054245</v>
      </c>
      <c r="G13" s="62"/>
      <c r="H13" s="63"/>
      <c r="J13" s="18" t="s">
        <v>57</v>
      </c>
      <c r="K13" s="19">
        <v>500</v>
      </c>
      <c r="M13" s="39" t="s">
        <v>4</v>
      </c>
      <c r="N13" s="61">
        <f>K12*(1+K14)^K15-K13*(1+K14)*((1+K14)^(K15)-1)/K14</f>
        <v>156398.14986700995</v>
      </c>
      <c r="O13" s="62"/>
      <c r="P13" s="63"/>
    </row>
    <row r="14" spans="2:16" ht="15.75" thickBot="1" x14ac:dyDescent="0.3">
      <c r="B14" s="18" t="s">
        <v>8</v>
      </c>
      <c r="C14" s="15">
        <v>7.9741399999999994E-3</v>
      </c>
      <c r="E14" s="3"/>
      <c r="J14" s="18" t="s">
        <v>8</v>
      </c>
      <c r="K14" s="15">
        <v>7.9741399999999994E-3</v>
      </c>
      <c r="M14" s="3"/>
    </row>
    <row r="15" spans="2:16" ht="16.5" thickBot="1" x14ac:dyDescent="0.3">
      <c r="B15" s="18" t="s">
        <v>22</v>
      </c>
      <c r="C15" s="18">
        <v>117</v>
      </c>
      <c r="E15" s="42" t="s">
        <v>2</v>
      </c>
      <c r="F15" s="29">
        <f>F13*(1+C14)^-C15</f>
        <v>4324.7726339757846</v>
      </c>
      <c r="G15" s="30"/>
      <c r="H15" s="31"/>
      <c r="J15" s="18" t="s">
        <v>22</v>
      </c>
      <c r="K15" s="18">
        <v>117</v>
      </c>
      <c r="M15" s="42" t="s">
        <v>2</v>
      </c>
      <c r="N15" s="29">
        <f>N13*(1+K14)^-K15</f>
        <v>61752.273660242157</v>
      </c>
      <c r="O15" s="30"/>
      <c r="P15" s="31"/>
    </row>
    <row r="16" spans="2:16" ht="15.75" x14ac:dyDescent="0.25">
      <c r="B16" s="14"/>
      <c r="C16" s="14"/>
      <c r="E16" s="3"/>
      <c r="F16" s="22"/>
      <c r="G16" s="22"/>
      <c r="H16" s="22"/>
      <c r="J16" s="14"/>
      <c r="K16" s="14"/>
      <c r="M16" s="3"/>
      <c r="N16" s="22"/>
      <c r="O16" s="22"/>
      <c r="P16" s="22"/>
    </row>
    <row r="17" spans="2:16" x14ac:dyDescent="0.25">
      <c r="B17" s="7" t="s">
        <v>55</v>
      </c>
      <c r="J17" s="7" t="s">
        <v>59</v>
      </c>
    </row>
    <row r="18" spans="2:16" x14ac:dyDescent="0.25">
      <c r="B18" s="7"/>
      <c r="J18" s="7"/>
    </row>
    <row r="19" spans="2:16" ht="15.75" thickBot="1" x14ac:dyDescent="0.3">
      <c r="B19" s="18" t="s">
        <v>40</v>
      </c>
      <c r="C19" s="19">
        <v>500</v>
      </c>
      <c r="J19" s="18" t="s">
        <v>40</v>
      </c>
      <c r="K19" s="19">
        <v>100000</v>
      </c>
    </row>
    <row r="20" spans="2:16" ht="16.5" thickBot="1" x14ac:dyDescent="0.3">
      <c r="B20" s="18" t="s">
        <v>41</v>
      </c>
      <c r="C20" s="19">
        <v>50</v>
      </c>
      <c r="E20" s="39" t="s">
        <v>4</v>
      </c>
      <c r="F20" s="29">
        <f>C19*(1+C21)^C22+C20*((1+C21)^(C22+1)-1)/C21</f>
        <v>11003.223233054241</v>
      </c>
      <c r="G20" s="30"/>
      <c r="H20" s="31"/>
      <c r="J20" s="18" t="s">
        <v>57</v>
      </c>
      <c r="K20" s="19">
        <v>500</v>
      </c>
      <c r="M20" s="39" t="s">
        <v>4</v>
      </c>
      <c r="N20" s="29">
        <f>K19*(1+K21)^K22-K20*((1+K21)^(K22+1)-1)/K21</f>
        <v>155898.14986700998</v>
      </c>
      <c r="O20" s="30"/>
      <c r="P20" s="31"/>
    </row>
    <row r="21" spans="2:16" ht="15.75" thickBot="1" x14ac:dyDescent="0.3">
      <c r="B21" s="18" t="s">
        <v>8</v>
      </c>
      <c r="C21" s="15">
        <v>7.9741399999999994E-3</v>
      </c>
      <c r="E21" s="3"/>
      <c r="J21" s="18" t="s">
        <v>8</v>
      </c>
      <c r="K21" s="15">
        <v>7.9741399999999994E-3</v>
      </c>
      <c r="M21" s="3"/>
    </row>
    <row r="22" spans="2:16" ht="16.5" thickBot="1" x14ac:dyDescent="0.3">
      <c r="B22" s="18" t="s">
        <v>22</v>
      </c>
      <c r="C22" s="18">
        <v>117</v>
      </c>
      <c r="E22" s="42" t="s">
        <v>2</v>
      </c>
      <c r="F22" s="29">
        <f>F20*(1+C21)^-C22</f>
        <v>4344.5146429806055</v>
      </c>
      <c r="G22" s="30"/>
      <c r="H22" s="31"/>
      <c r="J22" s="18" t="s">
        <v>22</v>
      </c>
      <c r="K22" s="18">
        <v>117</v>
      </c>
      <c r="M22" s="42" t="s">
        <v>2</v>
      </c>
      <c r="N22" s="29">
        <f>N20*(1+K21)^-K22</f>
        <v>61554.853570193947</v>
      </c>
      <c r="O22" s="30"/>
      <c r="P22" s="31"/>
    </row>
    <row r="23" spans="2:16" x14ac:dyDescent="0.25">
      <c r="E23" s="3"/>
      <c r="M23" s="3"/>
    </row>
    <row r="24" spans="2:16" x14ac:dyDescent="0.25">
      <c r="B24" s="7" t="s">
        <v>42</v>
      </c>
      <c r="E24" s="3"/>
      <c r="J24" s="7" t="s">
        <v>56</v>
      </c>
      <c r="M24" s="3"/>
    </row>
    <row r="25" spans="2:16" x14ac:dyDescent="0.25">
      <c r="B25" s="7"/>
      <c r="E25" s="3"/>
      <c r="J25" s="7"/>
      <c r="M25" s="3"/>
    </row>
    <row r="26" spans="2:16" ht="15.75" thickBot="1" x14ac:dyDescent="0.3">
      <c r="B26" s="18" t="s">
        <v>44</v>
      </c>
      <c r="C26" s="23">
        <v>50</v>
      </c>
      <c r="E26" s="3"/>
      <c r="J26" s="18" t="s">
        <v>57</v>
      </c>
      <c r="K26" s="23">
        <v>500</v>
      </c>
      <c r="M26" s="3"/>
    </row>
    <row r="27" spans="2:16" ht="16.5" thickBot="1" x14ac:dyDescent="0.3">
      <c r="B27" s="18" t="s">
        <v>37</v>
      </c>
      <c r="C27" s="19">
        <v>10876.59</v>
      </c>
      <c r="E27" s="43" t="s">
        <v>40</v>
      </c>
      <c r="F27" s="29">
        <f>(C27-(C26*(((1+C28)^(C29))-1)/C28))/((1+C28)^C29)</f>
        <v>500.0001114546655</v>
      </c>
      <c r="G27" s="30"/>
      <c r="H27" s="31"/>
      <c r="J27" s="18" t="s">
        <v>37</v>
      </c>
      <c r="K27" s="19">
        <v>157164.49</v>
      </c>
      <c r="M27" s="43" t="s">
        <v>40</v>
      </c>
      <c r="N27" s="29">
        <f>(K27+(K26*(((1+K28)^(K29))-1)/K28))/((1+K28)^K29)</f>
        <v>100000.00196617316</v>
      </c>
      <c r="O27" s="30"/>
      <c r="P27" s="31"/>
    </row>
    <row r="28" spans="2:16" x14ac:dyDescent="0.25">
      <c r="B28" s="18" t="s">
        <v>8</v>
      </c>
      <c r="C28" s="15">
        <v>7.9741399999999994E-3</v>
      </c>
      <c r="E28" s="3"/>
      <c r="J28" s="18" t="s">
        <v>8</v>
      </c>
      <c r="K28" s="15">
        <v>7.9741399999999994E-3</v>
      </c>
      <c r="M28" s="3"/>
    </row>
    <row r="29" spans="2:16" ht="15.75" x14ac:dyDescent="0.25">
      <c r="B29" s="18" t="s">
        <v>22</v>
      </c>
      <c r="C29" s="18">
        <v>117</v>
      </c>
      <c r="E29" s="21"/>
      <c r="F29" s="35"/>
      <c r="G29" s="35"/>
      <c r="H29" s="35"/>
      <c r="J29" s="18" t="s">
        <v>22</v>
      </c>
      <c r="K29" s="18">
        <v>117</v>
      </c>
      <c r="M29" s="21"/>
      <c r="N29" s="35"/>
      <c r="O29" s="35"/>
      <c r="P29" s="35"/>
    </row>
    <row r="30" spans="2:16" x14ac:dyDescent="0.25">
      <c r="E30" s="3"/>
      <c r="M30" s="3"/>
    </row>
    <row r="31" spans="2:16" x14ac:dyDescent="0.25">
      <c r="B31" s="7" t="s">
        <v>43</v>
      </c>
      <c r="E31" s="3"/>
      <c r="J31" s="7" t="s">
        <v>58</v>
      </c>
      <c r="M31" s="3"/>
    </row>
    <row r="32" spans="2:16" x14ac:dyDescent="0.25">
      <c r="B32" s="7"/>
      <c r="E32" s="3"/>
      <c r="J32" s="7"/>
      <c r="M32" s="3"/>
    </row>
    <row r="33" spans="2:16" ht="15.75" thickBot="1" x14ac:dyDescent="0.3">
      <c r="B33" s="18" t="s">
        <v>44</v>
      </c>
      <c r="C33" s="23">
        <v>50</v>
      </c>
      <c r="E33" s="3"/>
      <c r="J33" s="18" t="s">
        <v>57</v>
      </c>
      <c r="K33" s="23">
        <v>500</v>
      </c>
      <c r="M33" s="3"/>
    </row>
    <row r="34" spans="2:16" ht="16.5" thickBot="1" x14ac:dyDescent="0.3">
      <c r="B34" s="18" t="s">
        <v>37</v>
      </c>
      <c r="C34" s="19">
        <v>10953.22</v>
      </c>
      <c r="E34" s="43" t="s">
        <v>40</v>
      </c>
      <c r="F34" s="29">
        <f>(C34-(C33*(1+C35)*((((1+C35)^C36)-1)/C35)))/(1+C35)^C36</f>
        <v>499.99872346027922</v>
      </c>
      <c r="G34" s="30"/>
      <c r="H34" s="31"/>
      <c r="J34" s="18" t="s">
        <v>37</v>
      </c>
      <c r="K34" s="19">
        <v>156398.15</v>
      </c>
      <c r="M34" s="43" t="s">
        <v>40</v>
      </c>
      <c r="N34" s="29">
        <f>(K34+(K33*(1+K35)*((((1+K35)^K36)-1)/K35)))/(1+K35)^K36</f>
        <v>100000.00005250981</v>
      </c>
      <c r="O34" s="30"/>
      <c r="P34" s="31"/>
    </row>
    <row r="35" spans="2:16" x14ac:dyDescent="0.25">
      <c r="B35" s="18" t="s">
        <v>8</v>
      </c>
      <c r="C35" s="15">
        <v>7.9741399999999994E-3</v>
      </c>
      <c r="E35" s="3"/>
      <c r="J35" s="18" t="s">
        <v>8</v>
      </c>
      <c r="K35" s="15">
        <v>7.9741399999999994E-3</v>
      </c>
      <c r="M35" s="3"/>
    </row>
    <row r="36" spans="2:16" ht="15.75" x14ac:dyDescent="0.25">
      <c r="B36" s="18" t="s">
        <v>22</v>
      </c>
      <c r="C36" s="18">
        <v>117</v>
      </c>
      <c r="E36" s="21"/>
      <c r="F36" s="35"/>
      <c r="G36" s="35"/>
      <c r="H36" s="35"/>
      <c r="J36" s="18" t="s">
        <v>22</v>
      </c>
      <c r="K36" s="18">
        <v>117</v>
      </c>
      <c r="M36" s="21"/>
      <c r="N36" s="35"/>
      <c r="O36" s="35"/>
      <c r="P36" s="35"/>
    </row>
    <row r="37" spans="2:16" ht="15.75" x14ac:dyDescent="0.25">
      <c r="B37" s="14"/>
      <c r="C37" s="14"/>
      <c r="E37" s="21"/>
      <c r="F37" s="22"/>
      <c r="G37" s="22"/>
      <c r="H37" s="22"/>
      <c r="J37" s="14"/>
      <c r="K37" s="14"/>
      <c r="M37" s="21"/>
      <c r="N37" s="22"/>
      <c r="O37" s="22"/>
      <c r="P37" s="22"/>
    </row>
    <row r="38" spans="2:16" x14ac:dyDescent="0.25">
      <c r="B38" s="7" t="s">
        <v>55</v>
      </c>
      <c r="E38" s="3"/>
      <c r="J38" s="7" t="s">
        <v>59</v>
      </c>
      <c r="M38" s="3"/>
    </row>
    <row r="39" spans="2:16" x14ac:dyDescent="0.25">
      <c r="B39" s="7"/>
      <c r="E39" s="3"/>
      <c r="J39" s="7"/>
      <c r="M39" s="3"/>
    </row>
    <row r="40" spans="2:16" ht="15.75" thickBot="1" x14ac:dyDescent="0.3">
      <c r="B40" s="18" t="s">
        <v>44</v>
      </c>
      <c r="C40" s="23">
        <v>50</v>
      </c>
      <c r="E40" s="3"/>
      <c r="J40" s="18" t="s">
        <v>57</v>
      </c>
      <c r="K40" s="23">
        <v>500</v>
      </c>
      <c r="M40" s="3"/>
    </row>
    <row r="41" spans="2:16" ht="16.5" thickBot="1" x14ac:dyDescent="0.3">
      <c r="B41" s="18" t="s">
        <v>37</v>
      </c>
      <c r="C41" s="19">
        <v>11003.22</v>
      </c>
      <c r="E41" s="43" t="s">
        <v>40</v>
      </c>
      <c r="F41" s="29">
        <f>(C41-(C40*(((1+C42)^(C43+1))-1)/C42))/((1+C42)^C43)</f>
        <v>499.9987234602807</v>
      </c>
      <c r="G41" s="30"/>
      <c r="H41" s="31"/>
      <c r="J41" s="18" t="s">
        <v>37</v>
      </c>
      <c r="K41" s="19">
        <v>155898.15</v>
      </c>
      <c r="M41" s="43" t="s">
        <v>40</v>
      </c>
      <c r="N41" s="29">
        <f>(K41+(K40*(((1+K42)^(K43+1))-1)/K42))/((1+K42)^K43)</f>
        <v>100000.0000525098</v>
      </c>
      <c r="O41" s="30"/>
      <c r="P41" s="31"/>
    </row>
    <row r="42" spans="2:16" x14ac:dyDescent="0.25">
      <c r="B42" s="18" t="s">
        <v>8</v>
      </c>
      <c r="C42" s="15">
        <v>7.9741399999999994E-3</v>
      </c>
      <c r="E42" s="3"/>
      <c r="J42" s="18" t="s">
        <v>8</v>
      </c>
      <c r="K42" s="15">
        <v>7.9741399999999994E-3</v>
      </c>
      <c r="M42" s="3"/>
    </row>
    <row r="43" spans="2:16" ht="15.75" x14ac:dyDescent="0.25">
      <c r="B43" s="18" t="s">
        <v>22</v>
      </c>
      <c r="C43" s="18">
        <v>117</v>
      </c>
      <c r="E43" s="21"/>
      <c r="F43" s="35"/>
      <c r="G43" s="35"/>
      <c r="H43" s="35"/>
      <c r="J43" s="18" t="s">
        <v>22</v>
      </c>
      <c r="K43" s="18">
        <v>117</v>
      </c>
      <c r="M43" s="21"/>
      <c r="N43" s="35"/>
      <c r="O43" s="35"/>
      <c r="P43" s="35"/>
    </row>
    <row r="45" spans="2:16" x14ac:dyDescent="0.25">
      <c r="B45" s="7" t="s">
        <v>42</v>
      </c>
      <c r="E45" s="3"/>
      <c r="J45" s="7" t="s">
        <v>56</v>
      </c>
      <c r="M45" s="3"/>
    </row>
    <row r="46" spans="2:16" x14ac:dyDescent="0.25">
      <c r="B46" s="7"/>
      <c r="E46" s="3"/>
      <c r="J46" s="7"/>
      <c r="M46" s="3"/>
    </row>
    <row r="47" spans="2:16" ht="15.75" thickBot="1" x14ac:dyDescent="0.3">
      <c r="B47" s="18" t="s">
        <v>40</v>
      </c>
      <c r="C47" s="19">
        <v>500</v>
      </c>
      <c r="E47" s="3"/>
      <c r="J47" s="18" t="s">
        <v>40</v>
      </c>
      <c r="K47" s="19">
        <v>100000</v>
      </c>
      <c r="M47" s="3"/>
    </row>
    <row r="48" spans="2:16" ht="16.5" thickBot="1" x14ac:dyDescent="0.3">
      <c r="B48" s="18" t="s">
        <v>37</v>
      </c>
      <c r="C48" s="19">
        <v>10876.59</v>
      </c>
      <c r="E48" s="41" t="s">
        <v>44</v>
      </c>
      <c r="F48" s="64">
        <f>(C48-(C47*(1+C49)^(C50)))/((((1+C49)^C50)-1)/C49)</f>
        <v>50.016914425977653</v>
      </c>
      <c r="G48" s="65"/>
      <c r="H48" s="66"/>
      <c r="J48" s="18" t="s">
        <v>37</v>
      </c>
      <c r="K48" s="19">
        <v>157164.49</v>
      </c>
      <c r="M48" s="67" t="s">
        <v>57</v>
      </c>
      <c r="N48" s="65">
        <f>-(K48-(K47*(1+K49)^(K50)))/((((1+K49)^K50)-1)/K49)</f>
        <v>499.50420444629151</v>
      </c>
      <c r="O48" s="65"/>
      <c r="P48" s="66"/>
    </row>
    <row r="49" spans="2:16" x14ac:dyDescent="0.25">
      <c r="B49" s="18" t="s">
        <v>8</v>
      </c>
      <c r="C49" s="15">
        <v>7.9699999999999997E-3</v>
      </c>
      <c r="E49" s="3"/>
      <c r="J49" s="18" t="s">
        <v>8</v>
      </c>
      <c r="K49" s="15">
        <v>7.9699999999999997E-3</v>
      </c>
      <c r="M49" s="3"/>
    </row>
    <row r="50" spans="2:16" ht="15.75" x14ac:dyDescent="0.25">
      <c r="B50" s="18" t="s">
        <v>22</v>
      </c>
      <c r="C50" s="18">
        <v>117</v>
      </c>
      <c r="E50" s="21"/>
      <c r="F50" s="35"/>
      <c r="G50" s="35"/>
      <c r="H50" s="35"/>
      <c r="J50" s="18" t="s">
        <v>22</v>
      </c>
      <c r="K50" s="18">
        <v>117</v>
      </c>
      <c r="M50" s="21"/>
      <c r="N50" s="35"/>
      <c r="O50" s="35"/>
      <c r="P50" s="35"/>
    </row>
    <row r="51" spans="2:16" x14ac:dyDescent="0.25">
      <c r="E51" s="3"/>
      <c r="M51" s="3"/>
    </row>
    <row r="52" spans="2:16" x14ac:dyDescent="0.25">
      <c r="B52" s="7" t="s">
        <v>43</v>
      </c>
      <c r="E52" s="3"/>
      <c r="J52" s="7" t="s">
        <v>58</v>
      </c>
      <c r="M52" s="3"/>
    </row>
    <row r="53" spans="2:16" x14ac:dyDescent="0.25">
      <c r="B53" s="7"/>
      <c r="E53" s="3"/>
      <c r="J53" s="7"/>
      <c r="M53" s="3"/>
    </row>
    <row r="54" spans="2:16" ht="15.75" thickBot="1" x14ac:dyDescent="0.3">
      <c r="B54" s="18" t="s">
        <v>40</v>
      </c>
      <c r="C54" s="19">
        <v>500</v>
      </c>
      <c r="E54" s="3"/>
      <c r="J54" s="18" t="s">
        <v>40</v>
      </c>
      <c r="K54" s="19">
        <v>100000</v>
      </c>
      <c r="M54" s="3"/>
    </row>
    <row r="55" spans="2:16" ht="16.5" thickBot="1" x14ac:dyDescent="0.3">
      <c r="B55" s="18" t="s">
        <v>37</v>
      </c>
      <c r="C55" s="19">
        <v>10953.223223049999</v>
      </c>
      <c r="E55" s="41" t="s">
        <v>44</v>
      </c>
      <c r="F55" s="64">
        <f>(C55-(C54*(1+C56)^(C57)))/(((((1+C56)^C57)-1)/C56)*(1+C56))</f>
        <v>50.017093290029877</v>
      </c>
      <c r="G55" s="65"/>
      <c r="H55" s="66"/>
      <c r="J55" s="18" t="s">
        <v>37</v>
      </c>
      <c r="K55" s="19">
        <v>156398.15</v>
      </c>
      <c r="M55" s="67" t="s">
        <v>57</v>
      </c>
      <c r="N55" s="65">
        <f>-(K55-(K54*(1+K56)^(K57)))/(((((1+K56)^K57)-1)/K56)*(1+K56))</f>
        <v>499.5112908678924</v>
      </c>
      <c r="O55" s="65"/>
      <c r="P55" s="66"/>
    </row>
    <row r="56" spans="2:16" x14ac:dyDescent="0.25">
      <c r="B56" s="18" t="s">
        <v>8</v>
      </c>
      <c r="C56" s="15">
        <v>7.9699999999999997E-3</v>
      </c>
      <c r="E56" s="3"/>
      <c r="J56" s="18" t="s">
        <v>8</v>
      </c>
      <c r="K56" s="15">
        <v>7.9699999999999997E-3</v>
      </c>
      <c r="M56" s="3"/>
    </row>
    <row r="57" spans="2:16" ht="15.75" x14ac:dyDescent="0.25">
      <c r="B57" s="18" t="s">
        <v>22</v>
      </c>
      <c r="C57" s="18">
        <v>117</v>
      </c>
      <c r="E57" s="21"/>
      <c r="F57" s="35"/>
      <c r="G57" s="35"/>
      <c r="H57" s="35"/>
      <c r="J57" s="18" t="s">
        <v>22</v>
      </c>
      <c r="K57" s="18">
        <v>117</v>
      </c>
      <c r="M57" s="21"/>
      <c r="N57" s="35"/>
      <c r="O57" s="35"/>
      <c r="P57" s="35"/>
    </row>
    <row r="59" spans="2:16" x14ac:dyDescent="0.25">
      <c r="B59" s="7" t="s">
        <v>55</v>
      </c>
      <c r="E59" s="3"/>
      <c r="J59" s="7" t="s">
        <v>59</v>
      </c>
      <c r="M59" s="3"/>
    </row>
    <row r="60" spans="2:16" x14ac:dyDescent="0.25">
      <c r="B60" s="7"/>
      <c r="E60" s="3"/>
      <c r="J60" s="7"/>
      <c r="M60" s="3"/>
    </row>
    <row r="61" spans="2:16" ht="15.75" thickBot="1" x14ac:dyDescent="0.3">
      <c r="B61" s="18" t="s">
        <v>40</v>
      </c>
      <c r="C61" s="23">
        <v>500</v>
      </c>
      <c r="E61" s="3"/>
      <c r="J61" s="18" t="s">
        <v>40</v>
      </c>
      <c r="K61" s="23">
        <v>100000</v>
      </c>
      <c r="M61" s="3"/>
    </row>
    <row r="62" spans="2:16" ht="16.5" thickBot="1" x14ac:dyDescent="0.3">
      <c r="B62" s="18" t="s">
        <v>37</v>
      </c>
      <c r="C62" s="19">
        <v>11003.22</v>
      </c>
      <c r="E62" s="41" t="s">
        <v>44</v>
      </c>
      <c r="F62" s="64">
        <f>(C62-(C61*(1+C63)^(C64)))/((((1+C63)^(C64+1)-1)/C63))</f>
        <v>49.999983397907961</v>
      </c>
      <c r="G62" s="65"/>
      <c r="H62" s="66"/>
      <c r="J62" s="18" t="s">
        <v>37</v>
      </c>
      <c r="K62" s="19">
        <v>155898.15</v>
      </c>
      <c r="M62" s="67" t="s">
        <v>57</v>
      </c>
      <c r="N62" s="65">
        <f>-(K62-(K61*(1+K63)^(K64)))/((((1+K63)^(K64+1)-1)/K63))</f>
        <v>499.99999931708157</v>
      </c>
      <c r="O62" s="65"/>
      <c r="P62" s="66"/>
    </row>
    <row r="63" spans="2:16" x14ac:dyDescent="0.25">
      <c r="B63" s="18" t="s">
        <v>8</v>
      </c>
      <c r="C63" s="15">
        <v>7.9741399999999994E-3</v>
      </c>
      <c r="E63" s="3"/>
      <c r="J63" s="18" t="s">
        <v>8</v>
      </c>
      <c r="K63" s="15">
        <v>7.9741399999999994E-3</v>
      </c>
      <c r="M63" s="3"/>
    </row>
    <row r="64" spans="2:16" ht="15.75" x14ac:dyDescent="0.25">
      <c r="B64" s="18" t="s">
        <v>22</v>
      </c>
      <c r="C64" s="18">
        <v>117</v>
      </c>
      <c r="E64" s="21"/>
      <c r="F64" s="35"/>
      <c r="G64" s="35"/>
      <c r="H64" s="35"/>
      <c r="J64" s="18" t="s">
        <v>22</v>
      </c>
      <c r="K64" s="18">
        <v>117</v>
      </c>
      <c r="M64" s="21"/>
      <c r="N64" s="35"/>
      <c r="O64" s="35"/>
      <c r="P64" s="35"/>
    </row>
    <row r="66" spans="2:16" x14ac:dyDescent="0.25">
      <c r="B66" s="7" t="s">
        <v>42</v>
      </c>
      <c r="E66" s="3"/>
      <c r="J66" s="7" t="s">
        <v>56</v>
      </c>
      <c r="M66" s="3"/>
    </row>
    <row r="67" spans="2:16" x14ac:dyDescent="0.25">
      <c r="B67" s="7"/>
      <c r="E67" s="3"/>
      <c r="J67" s="7"/>
      <c r="M67" s="3"/>
    </row>
    <row r="68" spans="2:16" ht="15.75" thickBot="1" x14ac:dyDescent="0.3">
      <c r="B68" s="18" t="s">
        <v>40</v>
      </c>
      <c r="C68" s="19">
        <v>500</v>
      </c>
      <c r="E68" s="3"/>
      <c r="J68" s="18" t="s">
        <v>40</v>
      </c>
      <c r="K68" s="19">
        <v>100000</v>
      </c>
      <c r="M68" s="3"/>
    </row>
    <row r="69" spans="2:16" ht="16.5" thickBot="1" x14ac:dyDescent="0.3">
      <c r="B69" s="18" t="s">
        <v>37</v>
      </c>
      <c r="C69" s="19">
        <v>10876.59</v>
      </c>
      <c r="E69" s="40" t="s">
        <v>22</v>
      </c>
      <c r="F69" s="32">
        <f>LOG((((C69*C70)+C71)/((C68*C70)+C71)),1+C70)</f>
        <v>117.02387500588119</v>
      </c>
      <c r="G69" s="33"/>
      <c r="H69" s="34"/>
      <c r="J69" s="18" t="s">
        <v>37</v>
      </c>
      <c r="K69" s="19">
        <v>157164.49</v>
      </c>
      <c r="M69" s="40" t="s">
        <v>22</v>
      </c>
      <c r="N69" s="32">
        <f>LOG((((K69*K70)-K71)/((K68*K70)-K71)),1+K70)</f>
        <v>117.12715324803921</v>
      </c>
      <c r="O69" s="33"/>
      <c r="P69" s="34"/>
    </row>
    <row r="70" spans="2:16" x14ac:dyDescent="0.25">
      <c r="B70" s="18" t="s">
        <v>8</v>
      </c>
      <c r="C70" s="15">
        <v>7.9699999999999997E-3</v>
      </c>
      <c r="E70" s="3"/>
      <c r="J70" s="18" t="s">
        <v>8</v>
      </c>
      <c r="K70" s="15">
        <v>7.9699999999999997E-3</v>
      </c>
      <c r="M70" s="3"/>
    </row>
    <row r="71" spans="2:16" ht="15.75" x14ac:dyDescent="0.25">
      <c r="B71" s="18" t="s">
        <v>44</v>
      </c>
      <c r="C71" s="19">
        <v>50</v>
      </c>
      <c r="E71" s="21"/>
      <c r="F71" s="35"/>
      <c r="G71" s="35"/>
      <c r="H71" s="35"/>
      <c r="J71" s="18" t="s">
        <v>57</v>
      </c>
      <c r="K71" s="19">
        <v>500</v>
      </c>
      <c r="M71" s="21"/>
      <c r="N71" s="35"/>
      <c r="O71" s="35"/>
      <c r="P71" s="35"/>
    </row>
    <row r="72" spans="2:16" x14ac:dyDescent="0.25">
      <c r="E72" s="3"/>
      <c r="M72" s="3"/>
    </row>
    <row r="73" spans="2:16" x14ac:dyDescent="0.25">
      <c r="B73" s="7" t="s">
        <v>43</v>
      </c>
      <c r="E73" s="3"/>
      <c r="J73" s="7" t="s">
        <v>58</v>
      </c>
      <c r="M73" s="3"/>
    </row>
    <row r="74" spans="2:16" x14ac:dyDescent="0.25">
      <c r="B74" s="7"/>
      <c r="E74" s="3"/>
      <c r="J74" s="7"/>
      <c r="M74" s="3"/>
    </row>
    <row r="75" spans="2:16" ht="15.75" thickBot="1" x14ac:dyDescent="0.3">
      <c r="B75" s="18" t="s">
        <v>40</v>
      </c>
      <c r="C75" s="19">
        <v>500</v>
      </c>
      <c r="E75" s="3"/>
      <c r="J75" s="18" t="s">
        <v>40</v>
      </c>
      <c r="K75" s="19">
        <v>100000</v>
      </c>
      <c r="M75" s="3"/>
    </row>
    <row r="76" spans="2:16" ht="16.5" thickBot="1" x14ac:dyDescent="0.3">
      <c r="B76" s="18" t="s">
        <v>37</v>
      </c>
      <c r="C76" s="19">
        <v>10953.223223049999</v>
      </c>
      <c r="E76" s="40" t="s">
        <v>22</v>
      </c>
      <c r="F76" s="32">
        <f>LOG((((C76*C77)+(C78*(1+C77)))/((C75*C77)+(C78*(1+C77)))),1+C77)</f>
        <v>117.02414154071623</v>
      </c>
      <c r="G76" s="33"/>
      <c r="H76" s="34"/>
      <c r="J76" s="18" t="s">
        <v>37</v>
      </c>
      <c r="K76" s="19">
        <v>156398.15</v>
      </c>
      <c r="M76" s="40" t="s">
        <v>22</v>
      </c>
      <c r="N76" s="32">
        <f>LOG((((K76*K77)-(K78*(1+K77)))/((K75*K77)-(K78*(1+K77)))),1+K77)</f>
        <v>117.1280524633099</v>
      </c>
      <c r="O76" s="33"/>
      <c r="P76" s="34"/>
    </row>
    <row r="77" spans="2:16" x14ac:dyDescent="0.25">
      <c r="B77" s="18" t="s">
        <v>8</v>
      </c>
      <c r="C77" s="15">
        <v>7.9699999999999997E-3</v>
      </c>
      <c r="E77" s="3"/>
      <c r="J77" s="18" t="s">
        <v>8</v>
      </c>
      <c r="K77" s="15">
        <v>7.9699999999999997E-3</v>
      </c>
      <c r="M77" s="3"/>
    </row>
    <row r="78" spans="2:16" ht="15.75" x14ac:dyDescent="0.25">
      <c r="B78" s="18" t="s">
        <v>44</v>
      </c>
      <c r="C78" s="19">
        <v>50</v>
      </c>
      <c r="E78" s="21"/>
      <c r="F78" s="35"/>
      <c r="G78" s="35"/>
      <c r="H78" s="35"/>
      <c r="J78" s="18" t="s">
        <v>57</v>
      </c>
      <c r="K78" s="19">
        <v>500</v>
      </c>
      <c r="M78" s="21"/>
      <c r="N78" s="35"/>
      <c r="O78" s="35"/>
      <c r="P78" s="35"/>
    </row>
    <row r="80" spans="2:16" x14ac:dyDescent="0.25">
      <c r="B80" s="7" t="s">
        <v>55</v>
      </c>
      <c r="E80" s="3"/>
      <c r="J80" s="7" t="s">
        <v>59</v>
      </c>
      <c r="M80" s="3"/>
    </row>
    <row r="81" spans="2:16" x14ac:dyDescent="0.25">
      <c r="B81" s="7"/>
      <c r="E81" s="3"/>
      <c r="J81" s="7"/>
      <c r="M81" s="3"/>
    </row>
    <row r="82" spans="2:16" ht="15.75" thickBot="1" x14ac:dyDescent="0.3">
      <c r="B82" s="18" t="s">
        <v>40</v>
      </c>
      <c r="C82" s="23">
        <v>500</v>
      </c>
      <c r="E82" s="3"/>
      <c r="J82" s="18" t="s">
        <v>40</v>
      </c>
      <c r="K82" s="23">
        <v>100000</v>
      </c>
      <c r="M82" s="3"/>
    </row>
    <row r="83" spans="2:16" ht="16.5" thickBot="1" x14ac:dyDescent="0.3">
      <c r="B83" s="18" t="s">
        <v>37</v>
      </c>
      <c r="C83" s="19">
        <v>11003.22</v>
      </c>
      <c r="E83" s="40" t="s">
        <v>22</v>
      </c>
      <c r="F83" s="32">
        <f>LOG((((C83*C84)+C85)/((C82*C84)+(C85*(1+C84)))),1+C84)</f>
        <v>116.99997643459595</v>
      </c>
      <c r="G83" s="33"/>
      <c r="H83" s="34"/>
      <c r="J83" s="18" t="s">
        <v>37</v>
      </c>
      <c r="K83" s="19">
        <v>155898.15</v>
      </c>
      <c r="M83" s="40" t="s">
        <v>22</v>
      </c>
      <c r="N83" s="32">
        <f>LOG((((K83*K84)-K85)/((K82*K84)-(K85*(1+K84)))),1+K84)</f>
        <v>117.00000017966522</v>
      </c>
      <c r="O83" s="33"/>
      <c r="P83" s="34"/>
    </row>
    <row r="84" spans="2:16" x14ac:dyDescent="0.25">
      <c r="B84" s="18" t="s">
        <v>8</v>
      </c>
      <c r="C84" s="15">
        <v>7.9741399999999994E-3</v>
      </c>
      <c r="E84" s="3"/>
      <c r="J84" s="18" t="s">
        <v>8</v>
      </c>
      <c r="K84" s="15">
        <v>7.9741399999999994E-3</v>
      </c>
      <c r="M84" s="3"/>
    </row>
    <row r="85" spans="2:16" ht="15.75" x14ac:dyDescent="0.25">
      <c r="B85" s="18" t="s">
        <v>44</v>
      </c>
      <c r="C85" s="19">
        <v>50</v>
      </c>
      <c r="E85" s="21"/>
      <c r="F85" s="35"/>
      <c r="G85" s="35"/>
      <c r="H85" s="35"/>
      <c r="J85" s="18" t="s">
        <v>57</v>
      </c>
      <c r="K85" s="19">
        <v>500</v>
      </c>
      <c r="M85" s="21"/>
      <c r="N85" s="35"/>
      <c r="O85" s="35"/>
      <c r="P85" s="35"/>
    </row>
  </sheetData>
  <mergeCells count="48">
    <mergeCell ref="N71:P71"/>
    <mergeCell ref="N76:P76"/>
    <mergeCell ref="N78:P78"/>
    <mergeCell ref="N83:P83"/>
    <mergeCell ref="N85:P85"/>
    <mergeCell ref="N55:P55"/>
    <mergeCell ref="N57:P57"/>
    <mergeCell ref="N62:P62"/>
    <mergeCell ref="N64:P64"/>
    <mergeCell ref="N69:P69"/>
    <mergeCell ref="F83:H83"/>
    <mergeCell ref="F85:H85"/>
    <mergeCell ref="N6:P6"/>
    <mergeCell ref="N8:P8"/>
    <mergeCell ref="N13:P13"/>
    <mergeCell ref="N15:P15"/>
    <mergeCell ref="N20:P20"/>
    <mergeCell ref="N22:P22"/>
    <mergeCell ref="N27:P27"/>
    <mergeCell ref="N29:P29"/>
    <mergeCell ref="N34:P34"/>
    <mergeCell ref="N36:P36"/>
    <mergeCell ref="N41:P41"/>
    <mergeCell ref="N43:P43"/>
    <mergeCell ref="N48:P48"/>
    <mergeCell ref="N50:P50"/>
    <mergeCell ref="F64:H64"/>
    <mergeCell ref="F69:H69"/>
    <mergeCell ref="F71:H71"/>
    <mergeCell ref="F76:H76"/>
    <mergeCell ref="F78:H78"/>
    <mergeCell ref="F20:H20"/>
    <mergeCell ref="F22:H22"/>
    <mergeCell ref="F41:H41"/>
    <mergeCell ref="F43:H43"/>
    <mergeCell ref="F62:H62"/>
    <mergeCell ref="F6:H6"/>
    <mergeCell ref="F8:H8"/>
    <mergeCell ref="F13:H13"/>
    <mergeCell ref="F15:H15"/>
    <mergeCell ref="F48:H48"/>
    <mergeCell ref="F50:H50"/>
    <mergeCell ref="F55:H55"/>
    <mergeCell ref="F57:H57"/>
    <mergeCell ref="F27:H27"/>
    <mergeCell ref="F29:H29"/>
    <mergeCell ref="F34:H34"/>
    <mergeCell ref="F36:H3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H73"/>
  <sheetViews>
    <sheetView workbookViewId="0">
      <selection activeCell="C33" sqref="C33"/>
    </sheetView>
  </sheetViews>
  <sheetFormatPr defaultRowHeight="15" x14ac:dyDescent="0.25"/>
  <cols>
    <col min="2" max="2" width="33.28515625" bestFit="1" customWidth="1"/>
    <col min="3" max="3" width="11.5703125" bestFit="1" customWidth="1"/>
    <col min="5" max="5" width="27.7109375" customWidth="1"/>
  </cols>
  <sheetData>
    <row r="1" spans="2:8" ht="18.75" x14ac:dyDescent="0.3">
      <c r="B1" s="1" t="s">
        <v>0</v>
      </c>
      <c r="C1" s="2"/>
      <c r="D1" s="2"/>
      <c r="E1" s="1" t="s">
        <v>1</v>
      </c>
    </row>
    <row r="3" spans="2:8" x14ac:dyDescent="0.25">
      <c r="B3" s="24" t="s">
        <v>42</v>
      </c>
    </row>
    <row r="4" spans="2:8" x14ac:dyDescent="0.25">
      <c r="B4" s="68" t="s">
        <v>49</v>
      </c>
    </row>
    <row r="6" spans="2:8" ht="15.75" thickBot="1" x14ac:dyDescent="0.3">
      <c r="B6" s="18" t="s">
        <v>40</v>
      </c>
      <c r="C6" s="19">
        <v>1000</v>
      </c>
    </row>
    <row r="7" spans="2:8" ht="15.75" thickBot="1" x14ac:dyDescent="0.3">
      <c r="B7" s="18" t="s">
        <v>8</v>
      </c>
      <c r="C7" s="15">
        <v>1.4999999999999999E-2</v>
      </c>
      <c r="E7" s="42" t="s">
        <v>37</v>
      </c>
      <c r="F7" s="36">
        <f>(C6*(1+C7)^(C8))+((C9)*(((1+C7)^(C8))-((1+C10)^(C8)))/(C7-C10))</f>
        <v>23112.301936175922</v>
      </c>
      <c r="G7" s="37"/>
      <c r="H7" s="38"/>
    </row>
    <row r="8" spans="2:8" x14ac:dyDescent="0.25">
      <c r="B8" s="18" t="s">
        <v>22</v>
      </c>
      <c r="C8" s="18">
        <v>120</v>
      </c>
    </row>
    <row r="9" spans="2:8" x14ac:dyDescent="0.25">
      <c r="B9" s="18" t="s">
        <v>44</v>
      </c>
      <c r="C9" s="19">
        <v>50</v>
      </c>
    </row>
    <row r="10" spans="2:8" x14ac:dyDescent="0.25">
      <c r="B10" s="18" t="s">
        <v>50</v>
      </c>
      <c r="C10" s="15">
        <v>8.0000000000000004E-4</v>
      </c>
    </row>
    <row r="12" spans="2:8" x14ac:dyDescent="0.25">
      <c r="B12" s="24" t="s">
        <v>43</v>
      </c>
    </row>
    <row r="13" spans="2:8" x14ac:dyDescent="0.25">
      <c r="B13" s="68" t="s">
        <v>49</v>
      </c>
    </row>
    <row r="15" spans="2:8" ht="15.75" thickBot="1" x14ac:dyDescent="0.3">
      <c r="B15" s="18" t="s">
        <v>40</v>
      </c>
      <c r="C15" s="19">
        <v>1000</v>
      </c>
    </row>
    <row r="16" spans="2:8" ht="15.75" thickBot="1" x14ac:dyDescent="0.3">
      <c r="B16" s="18" t="s">
        <v>8</v>
      </c>
      <c r="C16" s="15">
        <v>1.4999999999999999E-2</v>
      </c>
      <c r="E16" s="42" t="s">
        <v>37</v>
      </c>
      <c r="F16" s="36">
        <f>(C15*(1+C16)^(C17))+(C18*(1+C16)*(((1+C16)^(C17))-((1+C19)^(C17)))/(C16-C19))</f>
        <v>23369.446622133739</v>
      </c>
      <c r="G16" s="37"/>
      <c r="H16" s="38"/>
    </row>
    <row r="17" spans="2:8" x14ac:dyDescent="0.25">
      <c r="B17" s="18" t="s">
        <v>22</v>
      </c>
      <c r="C17" s="18">
        <v>120</v>
      </c>
    </row>
    <row r="18" spans="2:8" x14ac:dyDescent="0.25">
      <c r="B18" s="18" t="s">
        <v>44</v>
      </c>
      <c r="C18" s="19">
        <v>50</v>
      </c>
    </row>
    <row r="19" spans="2:8" x14ac:dyDescent="0.25">
      <c r="B19" s="18" t="s">
        <v>50</v>
      </c>
      <c r="C19" s="15">
        <v>8.0000000000000004E-4</v>
      </c>
    </row>
    <row r="21" spans="2:8" x14ac:dyDescent="0.25">
      <c r="B21" s="24" t="s">
        <v>42</v>
      </c>
    </row>
    <row r="22" spans="2:8" x14ac:dyDescent="0.25">
      <c r="B22" s="68" t="s">
        <v>49</v>
      </c>
    </row>
    <row r="24" spans="2:8" ht="15.75" thickBot="1" x14ac:dyDescent="0.3">
      <c r="B24" s="18" t="s">
        <v>37</v>
      </c>
      <c r="C24" s="19">
        <v>23112.3</v>
      </c>
    </row>
    <row r="25" spans="2:8" ht="15.75" thickBot="1" x14ac:dyDescent="0.3">
      <c r="B25" s="18" t="s">
        <v>8</v>
      </c>
      <c r="C25" s="15">
        <v>1.4999999999999999E-2</v>
      </c>
      <c r="E25" s="43" t="s">
        <v>60</v>
      </c>
      <c r="F25" s="36">
        <f>(C24*(1+C25)^(C26))+((C27)*(((1+C25)^(C26))-((1+C28)^(C26)))/(C25-C28))</f>
        <v>155107.76008580707</v>
      </c>
      <c r="G25" s="37"/>
      <c r="H25" s="38"/>
    </row>
    <row r="26" spans="2:8" x14ac:dyDescent="0.25">
      <c r="B26" s="18" t="s">
        <v>22</v>
      </c>
      <c r="C26" s="18">
        <v>120</v>
      </c>
    </row>
    <row r="27" spans="2:8" x14ac:dyDescent="0.25">
      <c r="B27" s="18" t="s">
        <v>44</v>
      </c>
      <c r="C27" s="19">
        <v>50</v>
      </c>
    </row>
    <row r="28" spans="2:8" x14ac:dyDescent="0.25">
      <c r="B28" s="18" t="s">
        <v>50</v>
      </c>
      <c r="C28" s="15">
        <v>8.0000000000000004E-4</v>
      </c>
    </row>
    <row r="30" spans="2:8" x14ac:dyDescent="0.25">
      <c r="B30" s="24" t="s">
        <v>43</v>
      </c>
    </row>
    <row r="31" spans="2:8" x14ac:dyDescent="0.25">
      <c r="B31" s="68" t="s">
        <v>49</v>
      </c>
    </row>
    <row r="33" spans="2:8" ht="15.75" thickBot="1" x14ac:dyDescent="0.3">
      <c r="B33" s="18" t="s">
        <v>37</v>
      </c>
      <c r="C33" s="19">
        <v>23369.45</v>
      </c>
    </row>
    <row r="34" spans="2:8" ht="15.75" thickBot="1" x14ac:dyDescent="0.3">
      <c r="B34" s="18" t="s">
        <v>8</v>
      </c>
      <c r="C34" s="15">
        <v>1.4999999999999999E-2</v>
      </c>
      <c r="E34" s="43" t="s">
        <v>60</v>
      </c>
      <c r="F34" s="36">
        <f>(C33*(1+C34)^(C35))+(C36*(1+C34)*(((1+C34)^(C35))-((1+C37)^(C35)))/(C34-C37))</f>
        <v>156899.9161483823</v>
      </c>
      <c r="G34" s="37"/>
      <c r="H34" s="38"/>
    </row>
    <row r="35" spans="2:8" x14ac:dyDescent="0.25">
      <c r="B35" s="18" t="s">
        <v>22</v>
      </c>
      <c r="C35" s="18">
        <v>120</v>
      </c>
    </row>
    <row r="36" spans="2:8" x14ac:dyDescent="0.25">
      <c r="B36" s="18" t="s">
        <v>44</v>
      </c>
      <c r="C36" s="19">
        <v>50</v>
      </c>
    </row>
    <row r="37" spans="2:8" x14ac:dyDescent="0.25">
      <c r="B37" s="18" t="s">
        <v>50</v>
      </c>
      <c r="C37" s="15">
        <v>8.0000000000000004E-4</v>
      </c>
    </row>
    <row r="39" spans="2:8" x14ac:dyDescent="0.25">
      <c r="B39" s="24" t="s">
        <v>42</v>
      </c>
    </row>
    <row r="40" spans="2:8" x14ac:dyDescent="0.25">
      <c r="B40" s="68" t="s">
        <v>49</v>
      </c>
    </row>
    <row r="42" spans="2:8" ht="15.75" thickBot="1" x14ac:dyDescent="0.3">
      <c r="B42" s="18" t="s">
        <v>40</v>
      </c>
      <c r="C42" s="19">
        <v>1000</v>
      </c>
    </row>
    <row r="43" spans="2:8" ht="15.75" thickBot="1" x14ac:dyDescent="0.3">
      <c r="B43" s="18" t="s">
        <v>8</v>
      </c>
      <c r="C43" s="15">
        <v>1.4999999999999999E-2</v>
      </c>
      <c r="E43" s="42" t="s">
        <v>37</v>
      </c>
      <c r="F43" s="36">
        <f>(C42*(1+C43)^(C44))+((C45)*(((1+C43)^(C44))-((1+C46)^(C44)))/(C43-C46))</f>
        <v>23112.301936175922</v>
      </c>
      <c r="G43" s="37"/>
      <c r="H43" s="38"/>
    </row>
    <row r="44" spans="2:8" x14ac:dyDescent="0.25">
      <c r="B44" s="18" t="s">
        <v>22</v>
      </c>
      <c r="C44" s="18">
        <v>120</v>
      </c>
    </row>
    <row r="45" spans="2:8" x14ac:dyDescent="0.25">
      <c r="B45" s="18" t="s">
        <v>44</v>
      </c>
      <c r="C45" s="19">
        <v>50</v>
      </c>
    </row>
    <row r="46" spans="2:8" x14ac:dyDescent="0.25">
      <c r="B46" s="18" t="s">
        <v>50</v>
      </c>
      <c r="C46" s="15">
        <v>8.0000000000000004E-4</v>
      </c>
    </row>
    <row r="48" spans="2:8" x14ac:dyDescent="0.25">
      <c r="B48" s="24" t="s">
        <v>43</v>
      </c>
    </row>
    <row r="49" spans="2:8" x14ac:dyDescent="0.25">
      <c r="B49" s="68" t="s">
        <v>49</v>
      </c>
    </row>
    <row r="51" spans="2:8" ht="15.75" thickBot="1" x14ac:dyDescent="0.3">
      <c r="B51" s="18" t="s">
        <v>40</v>
      </c>
      <c r="C51" s="19">
        <v>1000</v>
      </c>
    </row>
    <row r="52" spans="2:8" ht="15.75" thickBot="1" x14ac:dyDescent="0.3">
      <c r="B52" s="18" t="s">
        <v>8</v>
      </c>
      <c r="C52" s="15">
        <v>1.4999999999999999E-2</v>
      </c>
      <c r="E52" s="42" t="s">
        <v>37</v>
      </c>
      <c r="F52" s="36">
        <f>(C51*(1+C52)^(C53))+(C54*(1+C52)*(((1+C52)^(C53))-((1+C55)^(C53)))/(C52-C55))</f>
        <v>23369.446622133739</v>
      </c>
      <c r="G52" s="37"/>
      <c r="H52" s="38"/>
    </row>
    <row r="53" spans="2:8" x14ac:dyDescent="0.25">
      <c r="B53" s="18" t="s">
        <v>22</v>
      </c>
      <c r="C53" s="18">
        <v>120</v>
      </c>
    </row>
    <row r="54" spans="2:8" x14ac:dyDescent="0.25">
      <c r="B54" s="18" t="s">
        <v>44</v>
      </c>
      <c r="C54" s="19">
        <v>50</v>
      </c>
    </row>
    <row r="55" spans="2:8" x14ac:dyDescent="0.25">
      <c r="B55" s="18" t="s">
        <v>50</v>
      </c>
      <c r="C55" s="15">
        <v>8.0000000000000004E-4</v>
      </c>
    </row>
    <row r="57" spans="2:8" x14ac:dyDescent="0.25">
      <c r="B57" s="24" t="s">
        <v>42</v>
      </c>
    </row>
    <row r="58" spans="2:8" x14ac:dyDescent="0.25">
      <c r="B58" s="68" t="s">
        <v>49</v>
      </c>
    </row>
    <row r="60" spans="2:8" ht="15.75" thickBot="1" x14ac:dyDescent="0.3">
      <c r="B60" s="18" t="s">
        <v>40</v>
      </c>
      <c r="C60" s="19">
        <v>1000</v>
      </c>
    </row>
    <row r="61" spans="2:8" ht="15.75" thickBot="1" x14ac:dyDescent="0.3">
      <c r="B61" s="18" t="s">
        <v>8</v>
      </c>
      <c r="C61" s="15">
        <v>1.4999999999999999E-2</v>
      </c>
      <c r="E61" s="42" t="s">
        <v>37</v>
      </c>
      <c r="F61" s="36">
        <f>(C60*(1+C61)^(C62))+((C63)*(((1+C61)^(C62))-((1+C64)^(C62)))/(C61-C64))</f>
        <v>23112.301936175922</v>
      </c>
      <c r="G61" s="37"/>
      <c r="H61" s="38"/>
    </row>
    <row r="62" spans="2:8" x14ac:dyDescent="0.25">
      <c r="B62" s="18" t="s">
        <v>22</v>
      </c>
      <c r="C62" s="18">
        <v>120</v>
      </c>
    </row>
    <row r="63" spans="2:8" x14ac:dyDescent="0.25">
      <c r="B63" s="18" t="s">
        <v>44</v>
      </c>
      <c r="C63" s="19">
        <v>50</v>
      </c>
    </row>
    <row r="64" spans="2:8" x14ac:dyDescent="0.25">
      <c r="B64" s="18" t="s">
        <v>50</v>
      </c>
      <c r="C64" s="15">
        <v>8.0000000000000004E-4</v>
      </c>
    </row>
    <row r="66" spans="2:8" x14ac:dyDescent="0.25">
      <c r="B66" s="24" t="s">
        <v>43</v>
      </c>
    </row>
    <row r="67" spans="2:8" x14ac:dyDescent="0.25">
      <c r="B67" s="68" t="s">
        <v>49</v>
      </c>
    </row>
    <row r="69" spans="2:8" ht="15.75" thickBot="1" x14ac:dyDescent="0.3">
      <c r="B69" s="18" t="s">
        <v>40</v>
      </c>
      <c r="C69" s="19">
        <v>1000</v>
      </c>
    </row>
    <row r="70" spans="2:8" ht="15.75" thickBot="1" x14ac:dyDescent="0.3">
      <c r="B70" s="18" t="s">
        <v>8</v>
      </c>
      <c r="C70" s="15">
        <v>1.4999999999999999E-2</v>
      </c>
      <c r="E70" s="42" t="s">
        <v>37</v>
      </c>
      <c r="F70" s="36">
        <f>(C69*(1+C70)^(C71))+(C72*(1+C70)*(((1+C70)^(C71))-((1+C73)^(C71)))/(C70-C73))</f>
        <v>23369.446622133739</v>
      </c>
      <c r="G70" s="37"/>
      <c r="H70" s="38"/>
    </row>
    <row r="71" spans="2:8" x14ac:dyDescent="0.25">
      <c r="B71" s="18" t="s">
        <v>22</v>
      </c>
      <c r="C71" s="18">
        <v>120</v>
      </c>
    </row>
    <row r="72" spans="2:8" x14ac:dyDescent="0.25">
      <c r="B72" s="18" t="s">
        <v>44</v>
      </c>
      <c r="C72" s="19">
        <v>50</v>
      </c>
    </row>
    <row r="73" spans="2:8" x14ac:dyDescent="0.25">
      <c r="B73" s="18" t="s">
        <v>50</v>
      </c>
      <c r="C73" s="15">
        <v>8.0000000000000004E-4</v>
      </c>
    </row>
  </sheetData>
  <mergeCells count="8">
    <mergeCell ref="F52:H52"/>
    <mergeCell ref="F61:H61"/>
    <mergeCell ref="F70:H70"/>
    <mergeCell ref="F7:H7"/>
    <mergeCell ref="F16:H16"/>
    <mergeCell ref="F25:H25"/>
    <mergeCell ref="F34:H34"/>
    <mergeCell ref="F43:H4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Interest Rate Conversions</vt:lpstr>
      <vt:lpstr>Single Investments</vt:lpstr>
      <vt:lpstr>Annuities</vt:lpstr>
      <vt:lpstr>Investments &amp; Withdrawels</vt:lpstr>
      <vt:lpstr>Loans OR Investments Increasing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Candice</dc:creator>
  <cp:lastModifiedBy>Candice</cp:lastModifiedBy>
  <dcterms:created xsi:type="dcterms:W3CDTF">2016-06-27T08:09:26Z</dcterms:created>
  <dcterms:modified xsi:type="dcterms:W3CDTF">2016-07-04T08:37:09Z</dcterms:modified>
</cp:coreProperties>
</file>